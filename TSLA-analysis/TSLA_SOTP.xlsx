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P Summary" sheetId="1" state="visible" r:id="rId1"/>
    <sheet xmlns:r="http://schemas.openxmlformats.org/officeDocument/2006/relationships" name="Segment Projections" sheetId="2" state="visible" r:id="rId2"/>
    <sheet xmlns:r="http://schemas.openxmlformats.org/officeDocument/2006/relationships" name="Scenario Brid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+0.0%;-0.0%"/>
  </numFmts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b val="1"/>
      <color rgb="001D1D1F"/>
      <sz val="11"/>
    </font>
    <font>
      <color rgb="001D1D1F"/>
      <sz val="11"/>
    </font>
    <font>
      <color rgb="0086868B"/>
      <sz val="11"/>
    </font>
    <font>
      <color rgb="00D70015"/>
      <sz val="11"/>
    </font>
    <font>
      <color rgb="0034C759"/>
      <sz val="11"/>
    </font>
    <font>
      <i val="1"/>
      <color rgb="0086868B"/>
      <sz val="11"/>
    </font>
    <font>
      <b val="1"/>
      <color rgb="00D70015"/>
      <sz val="11"/>
    </font>
    <font>
      <b val="1"/>
      <color rgb="000071E3"/>
      <sz val="11"/>
    </font>
    <font>
      <b val="1"/>
      <color rgb="0034C759"/>
      <sz val="11"/>
    </font>
    <font>
      <i val="1"/>
      <color rgb="001D1D1F"/>
      <sz val="11"/>
    </font>
  </fonts>
  <fills count="14">
    <fill>
      <patternFill/>
    </fill>
    <fill>
      <patternFill patternType="gray125"/>
    </fill>
    <fill>
      <patternFill patternType="solid">
        <fgColor rgb="001D1D1F"/>
      </patternFill>
    </fill>
    <fill>
      <patternFill patternType="solid">
        <fgColor rgb="00F5F5F7"/>
      </patternFill>
    </fill>
    <fill>
      <patternFill patternType="solid">
        <fgColor rgb="00FFFFFF"/>
      </patternFill>
    </fill>
    <fill>
      <patternFill patternType="solid">
        <fgColor rgb="002C2C2E"/>
      </patternFill>
    </fill>
    <fill>
      <patternFill patternType="solid">
        <fgColor rgb="00E31937"/>
      </patternFill>
    </fill>
    <fill>
      <patternFill patternType="solid">
        <fgColor rgb="0086868B"/>
      </patternFill>
    </fill>
    <fill>
      <patternFill patternType="solid">
        <fgColor rgb="00D70015"/>
      </patternFill>
    </fill>
    <fill>
      <patternFill patternType="solid">
        <fgColor rgb="000071E3"/>
      </patternFill>
    </fill>
    <fill>
      <patternFill patternType="solid">
        <fgColor rgb="0034C759"/>
      </patternFill>
    </fill>
    <fill>
      <patternFill patternType="solid">
        <fgColor rgb="0000B386"/>
      </patternFill>
    </fill>
    <fill>
      <patternFill patternType="solid">
        <fgColor rgb="00A855F7"/>
      </patternFill>
    </fill>
    <fill>
      <patternFill patternType="solid">
        <fgColor rgb="00FF9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164" fontId="4" fillId="3" borderId="0" applyAlignment="1" pivotButton="0" quotePrefix="0" xfId="0">
      <alignment horizontal="right" vertical="center" wrapText="1"/>
    </xf>
    <xf numFmtId="0" fontId="5" fillId="3" borderId="0" applyAlignment="1" pivotButton="0" quotePrefix="0" xfId="0">
      <alignment horizontal="center" vertical="center" wrapText="1"/>
    </xf>
    <xf numFmtId="164" fontId="6" fillId="3" borderId="0" applyAlignment="1" pivotButton="0" quotePrefix="0" xfId="0">
      <alignment horizontal="right" vertical="center" wrapText="1"/>
    </xf>
    <xf numFmtId="164" fontId="3" fillId="3" borderId="0" applyAlignment="1" pivotButton="0" quotePrefix="0" xfId="0">
      <alignment horizontal="right" vertical="center" wrapText="1"/>
    </xf>
    <xf numFmtId="164" fontId="7" fillId="3" borderId="0" applyAlignment="1" pivotButton="0" quotePrefix="0" xfId="0">
      <alignment horizontal="right" vertical="center" wrapText="1"/>
    </xf>
    <xf numFmtId="0" fontId="8" fillId="0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164" fontId="4" fillId="4" borderId="0" applyAlignment="1" pivotButton="0" quotePrefix="0" xfId="0">
      <alignment horizontal="right" vertical="center" wrapText="1"/>
    </xf>
    <xf numFmtId="0" fontId="5" fillId="4" borderId="0" applyAlignment="1" pivotButton="0" quotePrefix="0" xfId="0">
      <alignment horizontal="center" vertical="center" wrapText="1"/>
    </xf>
    <xf numFmtId="164" fontId="6" fillId="4" borderId="0" applyAlignment="1" pivotButton="0" quotePrefix="0" xfId="0">
      <alignment horizontal="right" vertical="center" wrapText="1"/>
    </xf>
    <xf numFmtId="164" fontId="3" fillId="4" borderId="0" applyAlignment="1" pivotButton="0" quotePrefix="0" xfId="0">
      <alignment horizontal="right" vertical="center" wrapText="1"/>
    </xf>
    <xf numFmtId="164" fontId="7" fillId="4" borderId="0" applyAlignment="1" pivotButton="0" quotePrefix="0" xfId="0">
      <alignment horizontal="right" vertical="center" wrapText="1"/>
    </xf>
    <xf numFmtId="0" fontId="4" fillId="3" borderId="0" applyAlignment="1" pivotButton="0" quotePrefix="0" xfId="0">
      <alignment horizontal="right" vertical="center" wrapText="1"/>
    </xf>
    <xf numFmtId="0" fontId="4" fillId="4" borderId="0" applyAlignment="1" pivotButton="0" quotePrefix="0" xfId="0">
      <alignment horizontal="right" vertical="center" wrapText="1"/>
    </xf>
    <xf numFmtId="0" fontId="2" fillId="2" borderId="0" applyAlignment="1" pivotButton="0" quotePrefix="0" xfId="0">
      <alignment horizontal="left" vertical="center" wrapText="1"/>
    </xf>
    <xf numFmtId="164" fontId="9" fillId="2" borderId="0" applyAlignment="1" pivotButton="0" quotePrefix="0" xfId="0">
      <alignment horizontal="right" vertical="center" wrapText="1"/>
    </xf>
    <xf numFmtId="164" fontId="10" fillId="2" borderId="0" applyAlignment="1" pivotButton="0" quotePrefix="0" xfId="0">
      <alignment horizontal="right" vertical="center" wrapText="1"/>
    </xf>
    <xf numFmtId="164" fontId="11" fillId="2" borderId="0" applyAlignment="1" pivotButton="0" quotePrefix="0" xfId="0">
      <alignment horizontal="right" vertical="center" wrapText="1"/>
    </xf>
    <xf numFmtId="0" fontId="4" fillId="2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left" vertical="center" wrapText="1"/>
    </xf>
    <xf numFmtId="164" fontId="2" fillId="5" borderId="0" applyAlignment="1" pivotButton="0" quotePrefix="0" xfId="0">
      <alignment horizontal="right" vertical="center" wrapText="1"/>
    </xf>
    <xf numFmtId="0" fontId="4" fillId="5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 wrapText="1"/>
    </xf>
    <xf numFmtId="164" fontId="2" fillId="6" borderId="0" applyAlignment="1" pivotButton="0" quotePrefix="0" xfId="0">
      <alignment horizontal="right" vertical="center" wrapText="1"/>
    </xf>
    <xf numFmtId="0" fontId="4" fillId="6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/>
    </xf>
    <xf numFmtId="0" fontId="12" fillId="8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left" vertical="center" wrapText="1"/>
    </xf>
    <xf numFmtId="0" fontId="12" fillId="10" borderId="0" applyAlignment="1" pivotButton="0" quotePrefix="0" xfId="0">
      <alignment horizontal="left" vertical="center" wrapText="1"/>
    </xf>
    <xf numFmtId="0" fontId="2" fillId="9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5" fontId="4" fillId="4" borderId="0" applyAlignment="1" pivotButton="0" quotePrefix="0" xfId="0">
      <alignment horizontal="right" vertical="center" wrapText="1"/>
    </xf>
    <xf numFmtId="0" fontId="2" fillId="11" borderId="0" applyAlignment="1" pivotButton="0" quotePrefix="0" xfId="0">
      <alignment horizontal="left" vertical="center"/>
    </xf>
    <xf numFmtId="0" fontId="2" fillId="1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164" fontId="2" fillId="2" borderId="0" applyAlignment="1" pivotButton="0" quotePrefix="0" xfId="0">
      <alignment horizontal="right" vertical="center" wrapText="1"/>
    </xf>
    <xf numFmtId="0" fontId="3" fillId="13" borderId="0" applyAlignment="1" pivotButton="0" quotePrefix="0" xfId="0">
      <alignment horizontal="left" vertical="center" wrapText="1"/>
    </xf>
    <xf numFmtId="164" fontId="3" fillId="13" borderId="0" applyAlignment="1" pivotButton="0" quotePrefix="0" xfId="0">
      <alignment horizontal="right" vertical="center" wrapText="1"/>
    </xf>
    <xf numFmtId="166" fontId="9" fillId="4" borderId="0" applyAlignment="1" pivotButton="0" quotePrefix="0" xfId="0">
      <alignment horizontal="right" vertical="center" wrapText="1"/>
    </xf>
    <xf numFmtId="166" fontId="11" fillId="4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8" customWidth="1" min="8" max="8"/>
  </cols>
  <sheetData>
    <row r="1">
      <c r="A1" s="1" t="inlineStr">
        <is>
          <t>TESLA — SUM OF THE PARTS VALUATION</t>
        </is>
      </c>
    </row>
    <row r="3" ht="36" customHeight="1">
      <c r="A3" s="2" t="inlineStr">
        <is>
          <t>SEGMENT</t>
        </is>
      </c>
      <c r="B3" s="2" t="inlineStr">
        <is>
          <t>FY2027E
Revenue</t>
        </is>
      </c>
      <c r="C3" s="2" t="inlineStr">
        <is>
          <t>FY2027E
EBITDA</t>
        </is>
      </c>
      <c r="D3" s="2" t="inlineStr">
        <is>
          <t>Multiple /
Basis</t>
        </is>
      </c>
      <c r="E3" s="2" t="inlineStr">
        <is>
          <t>Bear EV</t>
        </is>
      </c>
      <c r="F3" s="2" t="inlineStr">
        <is>
          <t>Base EV</t>
        </is>
      </c>
      <c r="G3" s="2" t="inlineStr">
        <is>
          <t>Bull EV</t>
        </is>
      </c>
      <c r="H3" s="2" t="inlineStr">
        <is>
          <t>Valuation Notes</t>
        </is>
      </c>
    </row>
    <row r="4">
      <c r="A4" s="3" t="inlineStr">
        <is>
          <t>Automotive (ex-FSD, ex-SC)</t>
        </is>
      </c>
      <c r="B4" s="4" t="n">
        <v>128000</v>
      </c>
      <c r="C4" s="4" t="n">
        <v>17400</v>
      </c>
      <c r="D4" s="5" t="inlineStr">
        <is>
          <t>8.0x EBITDA</t>
        </is>
      </c>
      <c r="E4" s="6" t="n">
        <v>97000</v>
      </c>
      <c r="F4" s="7" t="n">
        <v>139000</v>
      </c>
      <c r="G4" s="8" t="n">
        <v>187000</v>
      </c>
      <c r="H4" s="9" t="inlineStr">
        <is>
          <t>Valued as premium ICE/EV OEM. BMW/Mercedes trade at 3–4x; Tesla premium for brand, tech, margins.</t>
        </is>
      </c>
    </row>
    <row r="5">
      <c r="A5" s="10" t="inlineStr">
        <is>
          <t>Energy Gen. &amp; Storage</t>
        </is>
      </c>
      <c r="B5" s="11" t="n">
        <v>17500</v>
      </c>
      <c r="C5" s="11" t="n">
        <v>5250</v>
      </c>
      <c r="D5" s="12" t="inlineStr">
        <is>
          <t>22.0x EBITDA</t>
        </is>
      </c>
      <c r="E5" s="13" t="n">
        <v>65000</v>
      </c>
      <c r="F5" s="14" t="n">
        <v>115500</v>
      </c>
      <c r="G5" s="15" t="n">
        <v>175000</v>
      </c>
      <c r="H5" s="9" t="inlineStr">
        <is>
          <t>Megapack growth 200%+ in 3yr; high GM (&gt;25%). Grid-scale battery secular tailwind. Clean energy premium.</t>
        </is>
      </c>
    </row>
    <row r="6">
      <c r="A6" s="3" t="inlineStr">
        <is>
          <t>FSD / Autopilot Software</t>
        </is>
      </c>
      <c r="B6" s="4" t="n">
        <v>4000</v>
      </c>
      <c r="C6" s="16" t="n"/>
      <c r="D6" s="5" t="inlineStr">
        <is>
          <t>25-40x Revenue</t>
        </is>
      </c>
      <c r="E6" s="6" t="n">
        <v>0</v>
      </c>
      <c r="F6" s="7" t="n">
        <v>100000</v>
      </c>
      <c r="G6" s="8" t="n">
        <v>300000</v>
      </c>
      <c r="H6" s="9" t="inlineStr">
        <is>
          <t>Bear: regulatory block / no monetization. Base: $99/mo × 5M subs. Bull: licensing to OEMs + robotaxi.</t>
        </is>
      </c>
    </row>
    <row r="7">
      <c r="A7" s="10" t="inlineStr">
        <is>
          <t>Cybercab / Robotaxi Network</t>
        </is>
      </c>
      <c r="B7" s="11" t="n">
        <v>2000</v>
      </c>
      <c r="C7" s="17" t="n"/>
      <c r="D7" s="12" t="inlineStr">
        <is>
          <t>15-30x Revenue</t>
        </is>
      </c>
      <c r="E7" s="13" t="n">
        <v>0</v>
      </c>
      <c r="F7" s="14" t="n">
        <v>30000</v>
      </c>
      <c r="G7" s="15" t="n">
        <v>150000</v>
      </c>
      <c r="H7" s="9" t="inlineStr">
        <is>
          <t>Bear: still pre-revenue. Base: limited operations in 2–3 cities. Bull: network effect + margin expansion.</t>
        </is>
      </c>
    </row>
    <row r="8">
      <c r="A8" s="3" t="inlineStr">
        <is>
          <t>Supercharger Network</t>
        </is>
      </c>
      <c r="B8" s="4" t="n">
        <v>3000</v>
      </c>
      <c r="C8" s="4" t="n">
        <v>1200</v>
      </c>
      <c r="D8" s="5" t="inlineStr">
        <is>
          <t>20.0x EBITDA</t>
        </is>
      </c>
      <c r="E8" s="6" t="n">
        <v>12000</v>
      </c>
      <c r="F8" s="7" t="n">
        <v>24000</v>
      </c>
      <c r="G8" s="8" t="n">
        <v>40000</v>
      </c>
      <c r="H8" s="9" t="inlineStr">
        <is>
          <t>Now licensed to Ford, GM, Rivian, BMW. Infrastructure moat; expanding beyond Tesla vehicles.</t>
        </is>
      </c>
    </row>
    <row r="9">
      <c r="A9" s="10" t="inlineStr">
        <is>
          <t>Insurance</t>
        </is>
      </c>
      <c r="B9" s="11" t="n">
        <v>1000</v>
      </c>
      <c r="C9" s="17" t="n"/>
      <c r="D9" s="12" t="inlineStr">
        <is>
          <t>10x Revenue</t>
        </is>
      </c>
      <c r="E9" s="13" t="n">
        <v>3000</v>
      </c>
      <c r="F9" s="14" t="n">
        <v>10000</v>
      </c>
      <c r="G9" s="15" t="n">
        <v>20000</v>
      </c>
      <c r="H9" s="9" t="inlineStr">
        <is>
          <t>Leverages real-time vehicle data for underwriting. Currently 12 US states. Long-term potential globally.</t>
        </is>
      </c>
    </row>
    <row r="10">
      <c r="A10" s="3" t="inlineStr">
        <is>
          <t>Optimus Humanoid Robots</t>
        </is>
      </c>
      <c r="B10" s="16" t="n"/>
      <c r="C10" s="16" t="n"/>
      <c r="D10" s="5" t="inlineStr">
        <is>
          <t>DCF / Option</t>
        </is>
      </c>
      <c r="E10" s="6" t="n">
        <v>0</v>
      </c>
      <c r="F10" s="7" t="n">
        <v>75000</v>
      </c>
      <c r="G10" s="8" t="n">
        <v>500000</v>
      </c>
      <c r="H10" s="9" t="inlineStr">
        <is>
          <t>Bear: R&amp;D-stage, no revenue. Base: 10K+ units @ $20K margin. Bull: 1M+ units; $30T robot labor TAM.</t>
        </is>
      </c>
    </row>
    <row r="12">
      <c r="A12" s="18" t="inlineStr">
        <is>
          <t>TOTAL ENTERPRISE VALUE</t>
        </is>
      </c>
      <c r="E12" s="19" t="n">
        <v>80000</v>
      </c>
      <c r="F12" s="20" t="n">
        <v>493500</v>
      </c>
      <c r="G12" s="21" t="n">
        <v>1372000</v>
      </c>
      <c r="H12" s="22" t="inlineStr"/>
    </row>
    <row r="13">
      <c r="A13" s="23" t="inlineStr">
        <is>
          <t>(+) Net Cash ($28.9B)</t>
        </is>
      </c>
      <c r="E13" s="24" t="n">
        <v>28900</v>
      </c>
      <c r="F13" s="24" t="n">
        <v>28900</v>
      </c>
      <c r="G13" s="24" t="n">
        <v>28900</v>
      </c>
      <c r="H13" s="25" t="inlineStr"/>
    </row>
    <row r="14">
      <c r="A14" s="26" t="inlineStr">
        <is>
          <t>EQUITY VALUE</t>
        </is>
      </c>
      <c r="E14" s="27" t="n">
        <v>108900</v>
      </c>
      <c r="F14" s="27" t="n">
        <v>522400</v>
      </c>
      <c r="G14" s="27" t="n">
        <v>1400900</v>
      </c>
      <c r="H14" s="28" t="inlineStr"/>
    </row>
    <row r="15">
      <c r="A15" s="26" t="inlineStr">
        <is>
          <t>IMPLIED SHARE PRICE  (3,194M diluted shares)</t>
        </is>
      </c>
      <c r="E15" s="27" t="n">
        <v>34</v>
      </c>
      <c r="F15" s="27" t="n">
        <v>163</v>
      </c>
      <c r="G15" s="27" t="n">
        <v>438</v>
      </c>
      <c r="H15" s="28" t="inlineStr"/>
    </row>
    <row r="17">
      <c r="A17" s="18" t="inlineStr">
        <is>
          <t>Current Market Price: ~$278  |  Market Cap: ~$887B  |  Implied EV: ~$858B</t>
        </is>
      </c>
    </row>
    <row r="18">
      <c r="A18" s="29" t="inlineStr">
        <is>
          <t>Market EV implies: Auto $139B + Energy $115B + ALL other optionality ~$604B — entirely FSD/Optimus/Robotaxi premium</t>
        </is>
      </c>
    </row>
    <row r="19">
      <c r="A19" s="29" t="inlineStr">
        <is>
          <t>All figures in $M. FY2027E reference year (2 years forward). Multiples applied undiscounted as proxy.</t>
        </is>
      </c>
    </row>
    <row r="20">
      <c r="A20" s="30" t="inlineStr">
        <is>
          <t>Bear: No FSD/Optimus monetization, auto competition accelerates, margin compression persists.</t>
        </is>
      </c>
    </row>
    <row r="21">
      <c r="A21" s="31" t="inlineStr">
        <is>
          <t>Base: Energy scales, FSD reaches 5M subscribers, Cybercab in 3 cities, Optimus initial units.</t>
        </is>
      </c>
    </row>
    <row r="22">
      <c r="A22" s="32" t="inlineStr">
        <is>
          <t>Bull: FSD licensed to OEMs, Optimus 1M+ units, Megapack leads global grid storage, Robotaxi network.</t>
        </is>
      </c>
    </row>
  </sheetData>
  <mergeCells count="11">
    <mergeCell ref="A18:H18"/>
    <mergeCell ref="A21:H21"/>
    <mergeCell ref="A12:D12"/>
    <mergeCell ref="A20:H20"/>
    <mergeCell ref="A22:H22"/>
    <mergeCell ref="A15:D15"/>
    <mergeCell ref="A19:H19"/>
    <mergeCell ref="A1:H1"/>
    <mergeCell ref="A13:D13"/>
    <mergeCell ref="A14:D14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2" t="inlineStr">
        <is>
          <t>TESLA — SEGMENT REVENUE &amp; MARGIN PROJECTIONS ($M)</t>
        </is>
      </c>
      <c r="B1" s="2" t="inlineStr">
        <is>
          <t>FY2025E</t>
        </is>
      </c>
      <c r="C1" s="2" t="inlineStr">
        <is>
          <t>FY2026E</t>
        </is>
      </c>
      <c r="D1" s="2" t="inlineStr">
        <is>
          <t>FY2027E</t>
        </is>
      </c>
      <c r="E1" s="2" t="inlineStr">
        <is>
          <t>FY2028E</t>
        </is>
      </c>
      <c r="F1" s="2" t="inlineStr">
        <is>
          <t>FY2029E</t>
        </is>
      </c>
    </row>
    <row r="3">
      <c r="A3" s="33" t="inlineStr">
        <is>
          <t>AUTOMOTIVE SEGMENT</t>
        </is>
      </c>
    </row>
    <row r="4">
      <c r="A4" s="3" t="inlineStr">
        <is>
          <t>Automotive Revenue</t>
        </is>
      </c>
      <c r="B4" s="7" t="n">
        <v>82000</v>
      </c>
      <c r="C4" s="7" t="n">
        <v>104000</v>
      </c>
      <c r="D4" s="7" t="n">
        <v>135000</v>
      </c>
      <c r="E4" s="7" t="n">
        <v>170000</v>
      </c>
      <c r="F4" s="7" t="n">
        <v>205000</v>
      </c>
    </row>
    <row r="5">
      <c r="A5" s="34" t="inlineStr">
        <is>
          <t xml:space="preserve">  Vehicles (ex-FSD)</t>
        </is>
      </c>
      <c r="B5" s="11" t="n">
        <v>76000</v>
      </c>
      <c r="C5" s="11" t="n">
        <v>96000</v>
      </c>
      <c r="D5" s="11" t="n">
        <v>123000</v>
      </c>
      <c r="E5" s="11" t="n">
        <v>158000</v>
      </c>
      <c r="F5" s="11" t="n">
        <v>190000</v>
      </c>
    </row>
    <row r="6">
      <c r="A6" s="34" t="inlineStr">
        <is>
          <t xml:space="preserve">  FSD Revenue</t>
        </is>
      </c>
      <c r="B6" s="11" t="n">
        <v>1200</v>
      </c>
      <c r="C6" s="11" t="n">
        <v>2500</v>
      </c>
      <c r="D6" s="11" t="n">
        <v>5000</v>
      </c>
      <c r="E6" s="11" t="n">
        <v>8000</v>
      </c>
      <c r="F6" s="11" t="n">
        <v>12000</v>
      </c>
    </row>
    <row r="7">
      <c r="A7" s="34" t="inlineStr">
        <is>
          <t xml:space="preserve">  Regulatory Credits</t>
        </is>
      </c>
      <c r="B7" s="11" t="n">
        <v>1800</v>
      </c>
      <c r="C7" s="11" t="n">
        <v>2000</v>
      </c>
      <c r="D7" s="11" t="n">
        <v>2500</v>
      </c>
      <c r="E7" s="11" t="n">
        <v>3000</v>
      </c>
      <c r="F7" s="11" t="n">
        <v>3000</v>
      </c>
    </row>
    <row r="8">
      <c r="A8" s="34" t="inlineStr">
        <is>
          <t xml:space="preserve">  Services / Leasing</t>
        </is>
      </c>
      <c r="B8" s="11" t="n">
        <v>3000</v>
      </c>
      <c r="C8" s="11" t="n">
        <v>3500</v>
      </c>
      <c r="D8" s="11" t="n">
        <v>4500</v>
      </c>
      <c r="E8" s="11" t="n">
        <v>1000</v>
      </c>
    </row>
    <row r="9">
      <c r="A9" s="34" t="inlineStr">
        <is>
          <t>Automotive Gross Margin</t>
        </is>
      </c>
      <c r="B9" s="35" t="n">
        <v>0.178</v>
      </c>
      <c r="C9" s="35" t="n">
        <v>0.185</v>
      </c>
      <c r="D9" s="35" t="n">
        <v>0.195</v>
      </c>
      <c r="E9" s="35" t="n">
        <v>0.21</v>
      </c>
      <c r="F9" s="35" t="n">
        <v>0.23</v>
      </c>
    </row>
    <row r="11">
      <c r="A11" s="36" t="inlineStr">
        <is>
          <t>ENERGY SEGMENT</t>
        </is>
      </c>
    </row>
    <row r="12">
      <c r="A12" s="3" t="inlineStr">
        <is>
          <t>Energy Revenue</t>
        </is>
      </c>
      <c r="B12" s="7" t="n">
        <v>12500</v>
      </c>
      <c r="C12" s="7" t="n">
        <v>14500</v>
      </c>
      <c r="D12" s="7" t="n">
        <v>17500</v>
      </c>
      <c r="E12" s="7" t="n">
        <v>22000</v>
      </c>
      <c r="F12" s="7" t="n">
        <v>28000</v>
      </c>
    </row>
    <row r="13">
      <c r="A13" s="34" t="inlineStr">
        <is>
          <t xml:space="preserve">  Megapack (Utility)</t>
        </is>
      </c>
      <c r="B13" s="11" t="n">
        <v>9000</v>
      </c>
      <c r="C13" s="11" t="n">
        <v>10500</v>
      </c>
      <c r="D13" s="11" t="n">
        <v>12500</v>
      </c>
      <c r="E13" s="11" t="n">
        <v>15500</v>
      </c>
      <c r="F13" s="11" t="n">
        <v>20000</v>
      </c>
    </row>
    <row r="14">
      <c r="A14" s="34" t="inlineStr">
        <is>
          <t xml:space="preserve">  Powerwall (Residential)</t>
        </is>
      </c>
      <c r="B14" s="11" t="n">
        <v>2500</v>
      </c>
      <c r="C14" s="11" t="n">
        <v>3000</v>
      </c>
      <c r="D14" s="11" t="n">
        <v>4000</v>
      </c>
      <c r="E14" s="11" t="n">
        <v>5500</v>
      </c>
      <c r="F14" s="11" t="n">
        <v>7000</v>
      </c>
    </row>
    <row r="15">
      <c r="A15" s="34" t="inlineStr">
        <is>
          <t xml:space="preserve">  Solar</t>
        </is>
      </c>
      <c r="B15" s="11" t="n">
        <v>1000</v>
      </c>
      <c r="C15" s="11" t="n">
        <v>1000</v>
      </c>
      <c r="D15" s="11" t="n">
        <v>1000</v>
      </c>
      <c r="E15" s="11" t="n">
        <v>1000</v>
      </c>
      <c r="F15" s="11" t="n">
        <v>1000</v>
      </c>
    </row>
    <row r="16">
      <c r="A16" s="34" t="inlineStr">
        <is>
          <t>Energy Gross Margin</t>
        </is>
      </c>
      <c r="B16" s="35" t="n">
        <v>0.265</v>
      </c>
      <c r="C16" s="35" t="n">
        <v>0.275</v>
      </c>
      <c r="D16" s="35" t="n">
        <v>0.285</v>
      </c>
      <c r="E16" s="35" t="n">
        <v>0.295</v>
      </c>
      <c r="F16" s="35" t="n">
        <v>0.31</v>
      </c>
    </row>
    <row r="18">
      <c r="A18" s="37" t="inlineStr">
        <is>
          <t>SERVICES SEGMENT</t>
        </is>
      </c>
    </row>
    <row r="19">
      <c r="A19" s="3" t="inlineStr">
        <is>
          <t>Services Revenue</t>
        </is>
      </c>
      <c r="B19" s="7" t="n">
        <v>11000</v>
      </c>
      <c r="C19" s="7" t="n">
        <v>12000</v>
      </c>
      <c r="D19" s="7" t="n">
        <v>13500</v>
      </c>
      <c r="E19" s="7" t="n">
        <v>18000</v>
      </c>
      <c r="F19" s="7" t="n">
        <v>27000</v>
      </c>
    </row>
    <row r="20">
      <c r="A20" s="34" t="inlineStr">
        <is>
          <t xml:space="preserve">  FSD Subscription</t>
        </is>
      </c>
      <c r="B20" s="11" t="n">
        <v>1200</v>
      </c>
      <c r="C20" s="11" t="n">
        <v>2500</v>
      </c>
      <c r="D20" s="11" t="n">
        <v>5000</v>
      </c>
      <c r="E20" s="11" t="n">
        <v>8000</v>
      </c>
      <c r="F20" s="11" t="n">
        <v>12000</v>
      </c>
    </row>
    <row r="21">
      <c r="A21" s="34" t="inlineStr">
        <is>
          <t xml:space="preserve">  Service Centers</t>
        </is>
      </c>
      <c r="B21" s="11" t="n">
        <v>5800</v>
      </c>
      <c r="C21" s="11" t="n">
        <v>5500</v>
      </c>
      <c r="D21" s="11" t="n">
        <v>5500</v>
      </c>
      <c r="E21" s="11" t="n">
        <v>6000</v>
      </c>
      <c r="F21" s="11" t="n">
        <v>6500</v>
      </c>
    </row>
    <row r="22">
      <c r="A22" s="34" t="inlineStr">
        <is>
          <t xml:space="preserve">  Supercharging</t>
        </is>
      </c>
      <c r="B22" s="11" t="n">
        <v>2500</v>
      </c>
      <c r="C22" s="11" t="n">
        <v>2500</v>
      </c>
      <c r="D22" s="11" t="n">
        <v>2500</v>
      </c>
      <c r="E22" s="11" t="n">
        <v>3000</v>
      </c>
      <c r="F22" s="11" t="n">
        <v>3500</v>
      </c>
    </row>
    <row r="23">
      <c r="A23" s="34" t="inlineStr">
        <is>
          <t xml:space="preserve">  Other (Insurance, etc)</t>
        </is>
      </c>
      <c r="B23" s="11" t="n">
        <v>1500</v>
      </c>
      <c r="C23" s="11" t="n">
        <v>1500</v>
      </c>
      <c r="D23" s="11" t="n">
        <v>1500</v>
      </c>
      <c r="E23" s="11" t="n">
        <v>1000</v>
      </c>
      <c r="F23" s="11" t="n">
        <v>5000</v>
      </c>
    </row>
    <row r="24">
      <c r="A24" s="34" t="inlineStr">
        <is>
          <t>Services Gross Margin</t>
        </is>
      </c>
      <c r="B24" s="35" t="n">
        <v>0.09</v>
      </c>
      <c r="C24" s="35" t="n">
        <v>0.12</v>
      </c>
      <c r="D24" s="35" t="n">
        <v>0.15</v>
      </c>
      <c r="E24" s="35" t="n">
        <v>0.22</v>
      </c>
      <c r="F24" s="35" t="n">
        <v>0.28</v>
      </c>
    </row>
    <row r="26">
      <c r="A26" s="38" t="inlineStr">
        <is>
          <t>CONSOLIDATED</t>
        </is>
      </c>
    </row>
    <row r="27">
      <c r="A27" s="3" t="inlineStr">
        <is>
          <t>Total Revenue</t>
        </is>
      </c>
      <c r="B27" s="7" t="n">
        <v>105500</v>
      </c>
      <c r="C27" s="7" t="n">
        <v>130500</v>
      </c>
      <c r="D27" s="7" t="n">
        <v>166000</v>
      </c>
      <c r="E27" s="7" t="n">
        <v>210000</v>
      </c>
      <c r="F27" s="7" t="n">
        <v>260000</v>
      </c>
    </row>
    <row r="28">
      <c r="A28" s="3" t="inlineStr">
        <is>
          <t>Total Gross Profit</t>
        </is>
      </c>
      <c r="B28" s="7" t="n">
        <v>19508</v>
      </c>
      <c r="C28" s="7" t="n">
        <v>26100</v>
      </c>
      <c r="D28" s="7" t="n">
        <v>36520</v>
      </c>
      <c r="E28" s="7" t="n">
        <v>50400</v>
      </c>
      <c r="F28" s="7" t="n">
        <v>65260</v>
      </c>
    </row>
    <row r="29">
      <c r="A29" s="34" t="inlineStr">
        <is>
          <t>Blended Gross Margin</t>
        </is>
      </c>
      <c r="B29" s="35" t="n">
        <v>0.185</v>
      </c>
      <c r="C29" s="35" t="n">
        <v>0.2</v>
      </c>
      <c r="D29" s="35" t="n">
        <v>0.22</v>
      </c>
      <c r="E29" s="35" t="n">
        <v>0.24</v>
      </c>
      <c r="F29" s="35" t="n">
        <v>0.251</v>
      </c>
    </row>
    <row r="30">
      <c r="A30" s="3" t="inlineStr">
        <is>
          <t>EBITDA</t>
        </is>
      </c>
      <c r="B30" s="7" t="n">
        <v>14968</v>
      </c>
      <c r="C30" s="7" t="n">
        <v>20050</v>
      </c>
      <c r="D30" s="7" t="n">
        <v>28420</v>
      </c>
      <c r="E30" s="7" t="n">
        <v>37800</v>
      </c>
      <c r="F30" s="7" t="n">
        <v>48360</v>
      </c>
    </row>
    <row r="31">
      <c r="A31" s="34" t="inlineStr">
        <is>
          <t>EBITDA Margin</t>
        </is>
      </c>
      <c r="B31" s="35" t="n">
        <v>0.142</v>
      </c>
      <c r="C31" s="35" t="n">
        <v>0.154</v>
      </c>
      <c r="D31" s="35" t="n">
        <v>0.171</v>
      </c>
      <c r="E31" s="35" t="n">
        <v>0.18</v>
      </c>
      <c r="F31" s="35" t="n">
        <v>0.186</v>
      </c>
    </row>
  </sheetData>
  <mergeCells count="4">
    <mergeCell ref="A3:F3"/>
    <mergeCell ref="A26:F26"/>
    <mergeCell ref="A11:F11"/>
    <mergeCell ref="A18:F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2" t="inlineStr">
        <is>
          <t>SCENARIO BRIDGE — EQUITY VALUE ($M) &amp; IMPLIED SHARE PRICE</t>
        </is>
      </c>
      <c r="B1" s="2" t="inlineStr">
        <is>
          <t>BEAR</t>
        </is>
      </c>
      <c r="C1" s="2" t="inlineStr">
        <is>
          <t>BASE</t>
        </is>
      </c>
      <c r="D1" s="2" t="inlineStr">
        <is>
          <t>BULL</t>
        </is>
      </c>
      <c r="E1" s="2" t="inlineStr">
        <is>
          <t>Key Driver</t>
        </is>
      </c>
    </row>
    <row r="3">
      <c r="A3" s="39" t="inlineStr">
        <is>
          <t>Starting Point: Core Auto EV (FY2027E, 8x EBITDA)</t>
        </is>
      </c>
      <c r="B3" s="4" t="n">
        <v>97000</v>
      </c>
      <c r="C3" s="4" t="n">
        <v>139000</v>
      </c>
      <c r="D3" s="4" t="n">
        <v>187000</v>
      </c>
      <c r="E3" s="9" t="inlineStr">
        <is>
          <t>Auto margins, deliveries volume</t>
        </is>
      </c>
    </row>
    <row r="4">
      <c r="A4" s="34" t="inlineStr">
        <is>
          <t>+ Energy Storage EV (22x EBITDA)</t>
        </is>
      </c>
      <c r="B4" s="11" t="n">
        <v>65000</v>
      </c>
      <c r="C4" s="11" t="n">
        <v>115500</v>
      </c>
      <c r="D4" s="11" t="n">
        <v>175000</v>
      </c>
      <c r="E4" s="9" t="inlineStr">
        <is>
          <t>Megapack pricing, TAM capture</t>
        </is>
      </c>
    </row>
    <row r="5">
      <c r="A5" s="39" t="inlineStr">
        <is>
          <t>+ FSD / Software EV</t>
        </is>
      </c>
      <c r="B5" s="4" t="n">
        <v>0</v>
      </c>
      <c r="C5" s="4" t="n">
        <v>100000</v>
      </c>
      <c r="D5" s="4" t="n">
        <v>300000</v>
      </c>
      <c r="E5" s="9" t="inlineStr">
        <is>
          <t>Penetration rate, monetization path</t>
        </is>
      </c>
    </row>
    <row r="6">
      <c r="A6" s="34" t="inlineStr">
        <is>
          <t>+ Cybercab / Robotaxi EV</t>
        </is>
      </c>
      <c r="B6" s="11" t="n">
        <v>0</v>
      </c>
      <c r="C6" s="11" t="n">
        <v>30000</v>
      </c>
      <c r="D6" s="11" t="n">
        <v>150000</v>
      </c>
      <c r="E6" s="9" t="inlineStr">
        <is>
          <t>Regulatory timeline, city launches</t>
        </is>
      </c>
    </row>
    <row r="7">
      <c r="A7" s="39" t="inlineStr">
        <is>
          <t>+ Supercharger Network EV</t>
        </is>
      </c>
      <c r="B7" s="4" t="n">
        <v>12000</v>
      </c>
      <c r="C7" s="4" t="n">
        <v>24000</v>
      </c>
      <c r="D7" s="4" t="n">
        <v>40000</v>
      </c>
      <c r="E7" s="9" t="inlineStr">
        <is>
          <t>Third-party licensing ramp</t>
        </is>
      </c>
    </row>
    <row r="8">
      <c r="A8" s="34" t="inlineStr">
        <is>
          <t>+ Insurance EV</t>
        </is>
      </c>
      <c r="B8" s="11" t="n">
        <v>3000</v>
      </c>
      <c r="C8" s="11" t="n">
        <v>10000</v>
      </c>
      <c r="D8" s="11" t="n">
        <v>20000</v>
      </c>
      <c r="E8" s="9" t="inlineStr">
        <is>
          <t>State expansion, loss ratio</t>
        </is>
      </c>
    </row>
    <row r="9">
      <c r="A9" s="39" t="inlineStr">
        <is>
          <t>+ Optimus Robot Option Value</t>
        </is>
      </c>
      <c r="B9" s="4" t="n">
        <v>0</v>
      </c>
      <c r="C9" s="4" t="n">
        <v>75000</v>
      </c>
      <c r="D9" s="4" t="n">
        <v>500000</v>
      </c>
      <c r="E9" s="9" t="inlineStr">
        <is>
          <t>Unit volumes, production cost</t>
        </is>
      </c>
    </row>
    <row r="10">
      <c r="A10" s="18">
        <f> Total Enterprise Value</f>
        <v/>
      </c>
      <c r="B10" s="40" t="n">
        <v>177000</v>
      </c>
      <c r="C10" s="40" t="n">
        <v>493500</v>
      </c>
      <c r="D10" s="40" t="n">
        <v>1372000</v>
      </c>
      <c r="E10" s="9" t="inlineStr"/>
    </row>
    <row r="11">
      <c r="A11" s="39" t="inlineStr">
        <is>
          <t>+ Net Cash</t>
        </is>
      </c>
      <c r="B11" s="4" t="n">
        <v>28900</v>
      </c>
      <c r="C11" s="4" t="n">
        <v>28900</v>
      </c>
      <c r="D11" s="4" t="n">
        <v>28900</v>
      </c>
      <c r="E11" s="9" t="inlineStr">
        <is>
          <t>~$36.6B cash – $7.7B debt</t>
        </is>
      </c>
    </row>
    <row r="12">
      <c r="A12" s="18">
        <f> Equity Value</f>
        <v/>
      </c>
      <c r="B12" s="40" t="n">
        <v>205900</v>
      </c>
      <c r="C12" s="40" t="n">
        <v>522400</v>
      </c>
      <c r="D12" s="40" t="n">
        <v>1400900</v>
      </c>
      <c r="E12" s="9" t="inlineStr"/>
    </row>
    <row r="13">
      <c r="A13" s="39" t="inlineStr">
        <is>
          <t>Diluted Shares (M)</t>
        </is>
      </c>
      <c r="B13" s="4" t="n">
        <v>3194</v>
      </c>
      <c r="C13" s="4" t="n">
        <v>3194</v>
      </c>
      <c r="D13" s="4" t="n">
        <v>3194</v>
      </c>
      <c r="E13" s="9" t="inlineStr"/>
    </row>
    <row r="14">
      <c r="A14" s="18" t="inlineStr">
        <is>
          <t>IMPLIED SHARE PRICE</t>
        </is>
      </c>
      <c r="B14" s="40" t="n">
        <v>64</v>
      </c>
      <c r="C14" s="40" t="n">
        <v>164</v>
      </c>
      <c r="D14" s="40" t="n">
        <v>439</v>
      </c>
      <c r="E14" s="9" t="inlineStr"/>
    </row>
    <row r="15">
      <c r="A15" s="41" t="inlineStr">
        <is>
          <t>Current Price (~$278)</t>
        </is>
      </c>
      <c r="B15" s="42" t="n">
        <v>278</v>
      </c>
      <c r="C15" s="42" t="n">
        <v>278</v>
      </c>
      <c r="D15" s="42" t="n">
        <v>278</v>
      </c>
      <c r="E15" s="9" t="inlineStr">
        <is>
          <t>Market between base and bull</t>
        </is>
      </c>
    </row>
    <row r="16">
      <c r="A16" s="34" t="inlineStr">
        <is>
          <t>Upside / (Downside) %</t>
        </is>
      </c>
      <c r="B16" s="43" t="n">
        <v>-0.77</v>
      </c>
      <c r="C16" s="43" t="n">
        <v>-0.41</v>
      </c>
      <c r="D16" s="44" t="n">
        <v>0.579</v>
      </c>
      <c r="E16" s="9" t="inlineStr">
        <is>
          <t>vs. current ~$278/share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2026-05-06T18:44:02Z</dcterms:created>
  <dcterms:modified xmlns:dcterms="http://purl.org/dc/terms/" xmlns:xsi="http://www.w3.org/2001/XMLSchema-instance" xsi:type="dcterms:W3CDTF">2026-05-06T18:44:02Z</dcterms:modified>
</cp:coreProperties>
</file>