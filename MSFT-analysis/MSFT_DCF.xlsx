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 — Base" sheetId="2" state="visible" r:id="rId2"/>
    <sheet xmlns:r="http://schemas.openxmlformats.org/officeDocument/2006/relationships" name="DCF — Bull" sheetId="3" state="visible" r:id="rId3"/>
    <sheet xmlns:r="http://schemas.openxmlformats.org/officeDocument/2006/relationships" name="DCF — Bear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&quot;x&quot;"/>
    <numFmt numFmtId="166" formatCode="&quot;$&quot;#,##0;(&quot;$&quot;#,##0)"/>
    <numFmt numFmtId="167" formatCode="&quot;$&quot;#,##0.00"/>
    <numFmt numFmtId="168" formatCode="&quot;$&quot;#,##0.0"/>
    <numFmt numFmtId="169" formatCode="&quot;$&quot;#,##0.0;(&quot;$&quot;#,##0.0)"/>
    <numFmt numFmtId="170" formatCode="0.0000"/>
    <numFmt numFmtId="171" formatCode="&quot;$&quot;#,##0"/>
    <numFmt numFmtId="172" formatCode="0.0%;[Red]-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i val="1"/>
      <color rgb="00000000"/>
      <sz val="10"/>
    </font>
    <font>
      <name val="Calibri"/>
      <color rgb="00595959"/>
      <sz val="9"/>
    </font>
    <font>
      <name val="Calibri"/>
      <b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0F2444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AE9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0" fontId="5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8" fontId="5" fillId="7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8" fontId="5" fillId="8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8" fontId="6" fillId="2" borderId="1" applyAlignment="1" pivotButton="0" quotePrefix="0" xfId="0">
      <alignment horizontal="right" vertical="center"/>
    </xf>
    <xf numFmtId="17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71" fontId="4" fillId="0" borderId="1" applyAlignment="1" pivotButton="0" quotePrefix="0" xfId="0">
      <alignment horizontal="right" vertical="center"/>
    </xf>
    <xf numFmtId="171" fontId="5" fillId="7" borderId="1" applyAlignment="1" pivotButton="0" quotePrefix="0" xfId="0">
      <alignment horizontal="right" vertical="center"/>
    </xf>
    <xf numFmtId="171" fontId="6" fillId="2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72" fontId="5" fillId="4" borderId="1" applyAlignment="1" pivotButton="0" quotePrefix="0" xfId="0">
      <alignment horizontal="right" vertical="center"/>
    </xf>
    <xf numFmtId="10" fontId="6" fillId="2" borderId="1" applyAlignment="1" pivotButton="0" quotePrefix="0" xfId="0">
      <alignment horizontal="center" vertical="center"/>
    </xf>
    <xf numFmtId="171" fontId="4" fillId="4" borderId="1" applyAlignment="1" pivotButton="0" quotePrefix="0" xfId="0">
      <alignment horizontal="right" vertical="center"/>
    </xf>
    <xf numFmtId="171" fontId="4" fillId="5" borderId="1" applyAlignment="1" pivotButton="0" quotePrefix="0" xfId="0">
      <alignment horizontal="right" vertical="center"/>
    </xf>
    <xf numFmtId="171" fontId="4" fillId="6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center" vertical="center"/>
    </xf>
    <xf numFmtId="168" fontId="4" fillId="7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right" vertical="center"/>
    </xf>
    <xf numFmtId="171" fontId="4" fillId="7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172" fontId="5" fillId="0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5" fontId="5" fillId="8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>Microsoft Corporation — DCF Valuation Model</t>
        </is>
      </c>
    </row>
    <row r="2">
      <c r="A2" s="2" t="inlineStr">
        <is>
          <t>Discounted Cash Flow Analysis  •  USD billions  •  As of May 2026</t>
        </is>
      </c>
    </row>
    <row r="4">
      <c r="A4" s="3" t="inlineStr">
        <is>
          <t>Capital Structure &amp; Cost of Capital (CAPM-derived WACC)</t>
        </is>
      </c>
    </row>
    <row r="5">
      <c r="A5" s="4" t="inlineStr">
        <is>
          <t>Risk-free rate (10Y UST)</t>
        </is>
      </c>
      <c r="B5" s="5" t="n">
        <v>0.045</v>
      </c>
    </row>
    <row r="6">
      <c r="A6" s="4" t="inlineStr">
        <is>
          <t>Equity risk premium</t>
        </is>
      </c>
      <c r="B6" s="5" t="n">
        <v>0.055</v>
      </c>
    </row>
    <row r="7">
      <c r="A7" s="4" t="inlineStr">
        <is>
          <t>Levered beta (5Y)</t>
        </is>
      </c>
      <c r="B7" s="6" t="n">
        <v>0.92</v>
      </c>
    </row>
    <row r="8">
      <c r="A8" s="7" t="inlineStr">
        <is>
          <t>Cost of equity</t>
        </is>
      </c>
      <c r="B8" s="8" t="n">
        <v>0.0956</v>
      </c>
    </row>
    <row r="9">
      <c r="A9" s="4" t="inlineStr">
        <is>
          <t>Pre-tax cost of debt</t>
        </is>
      </c>
      <c r="B9" s="5" t="n">
        <v>0.045</v>
      </c>
    </row>
    <row r="10">
      <c r="A10" s="4" t="inlineStr">
        <is>
          <t>Effective tax rate</t>
        </is>
      </c>
      <c r="B10" s="5" t="n">
        <v>0.19</v>
      </c>
    </row>
    <row r="11">
      <c r="A11" s="4" t="inlineStr">
        <is>
          <t>After-tax cost of debt</t>
        </is>
      </c>
      <c r="B11" s="9" t="n">
        <v>0.0365</v>
      </c>
    </row>
    <row r="12">
      <c r="A12" s="4" t="inlineStr">
        <is>
          <t>Equity weight</t>
        </is>
      </c>
      <c r="B12" s="5" t="n">
        <v>0.985</v>
      </c>
    </row>
    <row r="13">
      <c r="A13" s="4" t="inlineStr">
        <is>
          <t>Debt weight</t>
        </is>
      </c>
      <c r="B13" s="5" t="n">
        <v>0.015</v>
      </c>
    </row>
    <row r="14">
      <c r="A14" s="7" t="inlineStr">
        <is>
          <t>WACC</t>
        </is>
      </c>
      <c r="B14" s="10" t="n">
        <v>0.09470000000000001</v>
      </c>
    </row>
    <row r="17">
      <c r="A17" s="3" t="inlineStr">
        <is>
          <t>Operating Assumptions — Three Cases</t>
        </is>
      </c>
    </row>
    <row r="18">
      <c r="A18" s="11" t="inlineStr">
        <is>
          <t>Driver</t>
        </is>
      </c>
      <c r="B18" s="11" t="inlineStr">
        <is>
          <t>Bear</t>
        </is>
      </c>
      <c r="C18" s="11" t="inlineStr">
        <is>
          <t>Base</t>
        </is>
      </c>
      <c r="D18" s="11" t="inlineStr">
        <is>
          <t>Bull</t>
        </is>
      </c>
      <c r="E18" s="11" t="inlineStr"/>
      <c r="F18" s="11" t="inlineStr">
        <is>
          <t>Notes</t>
        </is>
      </c>
    </row>
    <row r="19">
      <c r="A19" s="4" t="inlineStr">
        <is>
          <t>FY26E revenue growth</t>
        </is>
      </c>
      <c r="B19" s="12" t="n">
        <v>0.1</v>
      </c>
      <c r="C19" s="13" t="n">
        <v>0.143</v>
      </c>
      <c r="D19" s="14" t="n">
        <v>0.18</v>
      </c>
      <c r="F19" s="15" t="inlineStr">
        <is>
          <t>Cloud + AI Copilot adoption</t>
        </is>
      </c>
    </row>
    <row r="20">
      <c r="A20" s="4" t="inlineStr">
        <is>
          <t>FY27E revenue growth</t>
        </is>
      </c>
      <c r="B20" s="12" t="n">
        <v>0.09</v>
      </c>
      <c r="C20" s="13" t="n">
        <v>0.125</v>
      </c>
      <c r="D20" s="14" t="n">
        <v>0.16</v>
      </c>
      <c r="F20" s="15" t="inlineStr">
        <is>
          <t>Azure share gains; M365 AI</t>
        </is>
      </c>
    </row>
    <row r="21">
      <c r="A21" s="4" t="inlineStr">
        <is>
          <t>FY28E revenue growth</t>
        </is>
      </c>
      <c r="B21" s="12" t="n">
        <v>0.08</v>
      </c>
      <c r="C21" s="13" t="n">
        <v>0.111</v>
      </c>
      <c r="D21" s="14" t="n">
        <v>0.14</v>
      </c>
      <c r="F21" s="15" t="inlineStr">
        <is>
          <t>Continued capex monetization</t>
        </is>
      </c>
    </row>
    <row r="22">
      <c r="A22" s="4" t="inlineStr">
        <is>
          <t>FY29E revenue growth</t>
        </is>
      </c>
      <c r="B22" s="12" t="n">
        <v>0.07000000000000001</v>
      </c>
      <c r="C22" s="13" t="n">
        <v>0.1</v>
      </c>
      <c r="D22" s="14" t="n">
        <v>0.12</v>
      </c>
      <c r="F22" s="15" t="inlineStr">
        <is>
          <t>Maturing AI workloads</t>
        </is>
      </c>
    </row>
    <row r="23">
      <c r="A23" s="4" t="inlineStr">
        <is>
          <t>FY30E revenue growth</t>
        </is>
      </c>
      <c r="B23" s="12" t="n">
        <v>0.06</v>
      </c>
      <c r="C23" s="13" t="n">
        <v>0.08</v>
      </c>
      <c r="D23" s="14" t="n">
        <v>0.1</v>
      </c>
      <c r="F23" s="15" t="inlineStr">
        <is>
          <t>Approaching steady state</t>
        </is>
      </c>
    </row>
    <row r="24">
      <c r="A24" s="4" t="inlineStr">
        <is>
          <t>Terminal EBITDA margin</t>
        </is>
      </c>
      <c r="B24" s="12" t="n">
        <v>0.46</v>
      </c>
      <c r="C24" s="13" t="n">
        <v>0.54</v>
      </c>
      <c r="D24" s="14" t="n">
        <v>0.58</v>
      </c>
      <c r="F24" s="15" t="inlineStr">
        <is>
          <t>vs FY25 53.6%</t>
        </is>
      </c>
    </row>
    <row r="25">
      <c r="A25" s="4" t="inlineStr">
        <is>
          <t>Terminal growth rate (g)</t>
        </is>
      </c>
      <c r="B25" s="12" t="n">
        <v>0.025</v>
      </c>
      <c r="C25" s="13" t="n">
        <v>0.03</v>
      </c>
      <c r="D25" s="14" t="n">
        <v>0.035</v>
      </c>
      <c r="F25" s="15" t="inlineStr">
        <is>
          <t>Long-run global GDP+</t>
        </is>
      </c>
    </row>
    <row r="26">
      <c r="A26" s="4" t="inlineStr">
        <is>
          <t>Exit EV/EBITDA multiple</t>
        </is>
      </c>
      <c r="B26" s="16" t="n">
        <v>16</v>
      </c>
      <c r="C26" s="17" t="n">
        <v>20</v>
      </c>
      <c r="D26" s="18" t="n">
        <v>24</v>
      </c>
      <c r="F26" s="15" t="inlineStr">
        <is>
          <t>Peer median: 17.3x</t>
        </is>
      </c>
    </row>
    <row r="28">
      <c r="A28" s="3" t="inlineStr">
        <is>
          <t>Other Assumptions</t>
        </is>
      </c>
    </row>
    <row r="29">
      <c r="A29" s="4" t="inlineStr">
        <is>
          <t>D&amp;A as % of revenue</t>
        </is>
      </c>
      <c r="B29" s="5" t="n">
        <v>0.082</v>
      </c>
    </row>
    <row r="30">
      <c r="A30" s="4" t="inlineStr">
        <is>
          <t>Capex as % of revenue</t>
        </is>
      </c>
      <c r="B30" s="5" t="n">
        <v>0.215</v>
      </c>
    </row>
    <row r="31">
      <c r="A31" s="4" t="inlineStr">
        <is>
          <t>Stock-based comp % of rev</t>
        </is>
      </c>
      <c r="B31" s="5" t="n">
        <v>0.04</v>
      </c>
    </row>
    <row r="32">
      <c r="A32" s="4" t="inlineStr">
        <is>
          <t>Δ Working capital % of rev</t>
        </is>
      </c>
      <c r="B32" s="5" t="n">
        <v>0.01</v>
      </c>
    </row>
    <row r="33">
      <c r="A33" s="4" t="inlineStr">
        <is>
          <t>Diluted shares outstanding</t>
        </is>
      </c>
      <c r="B33" s="6" t="n">
        <v>7.43</v>
      </c>
    </row>
    <row r="34">
      <c r="A34" s="4" t="inlineStr">
        <is>
          <t>Net debt (cash) — current</t>
        </is>
      </c>
      <c r="B34" s="19" t="n">
        <v>-24</v>
      </c>
    </row>
    <row r="35">
      <c r="A35" s="4" t="inlineStr">
        <is>
          <t>Current share price</t>
        </is>
      </c>
      <c r="B35" s="20" t="n">
        <v>420</v>
      </c>
    </row>
  </sheetData>
  <mergeCells count="5">
    <mergeCell ref="A2:F2"/>
    <mergeCell ref="A28:F28"/>
    <mergeCell ref="A1:F1"/>
    <mergeCell ref="A17:F17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 ht="26" customHeight="1">
      <c r="A1" s="1" t="inlineStr">
        <is>
          <t>DCF Projections — Base Case</t>
        </is>
      </c>
    </row>
    <row r="2">
      <c r="A2" s="2" t="inlineStr">
        <is>
          <t>WACC 9.47%  •  g = 3.0%  •  Exit Multiple 20.0x</t>
        </is>
      </c>
    </row>
    <row r="4">
      <c r="A4" s="11" t="inlineStr">
        <is>
          <t>($B)</t>
        </is>
      </c>
      <c r="B4" s="11" t="inlineStr">
        <is>
          <t>FY25A</t>
        </is>
      </c>
      <c r="C4" s="11" t="inlineStr">
        <is>
          <t>FY26E</t>
        </is>
      </c>
      <c r="D4" s="11" t="inlineStr">
        <is>
          <t>FY27E</t>
        </is>
      </c>
      <c r="E4" s="11" t="inlineStr">
        <is>
          <t>FY28E</t>
        </is>
      </c>
      <c r="F4" s="11" t="inlineStr">
        <is>
          <t>FY29E</t>
        </is>
      </c>
      <c r="G4" s="11" t="inlineStr">
        <is>
          <t>FY30E</t>
        </is>
      </c>
      <c r="H4" s="11" t="inlineStr">
        <is>
          <t>Terminal</t>
        </is>
      </c>
    </row>
    <row r="5">
      <c r="A5" s="7" t="inlineStr">
        <is>
          <t>Revenue</t>
        </is>
      </c>
      <c r="B5" s="21" t="n">
        <v>280</v>
      </c>
      <c r="C5" s="21" t="n">
        <v>320.04</v>
      </c>
      <c r="D5" s="21" t="n">
        <v>360.045</v>
      </c>
      <c r="E5" s="21" t="n">
        <v>400.009995</v>
      </c>
      <c r="F5" s="21" t="n">
        <v>440.0109945</v>
      </c>
      <c r="G5" s="21" t="n">
        <v>475.2118740600001</v>
      </c>
    </row>
    <row r="6">
      <c r="A6" s="22" t="inlineStr">
        <is>
          <t xml:space="preserve">  Growth %</t>
        </is>
      </c>
      <c r="B6" s="4" t="inlineStr"/>
      <c r="C6" s="23" t="n">
        <v>0.143</v>
      </c>
      <c r="D6" s="23" t="n">
        <v>0.125</v>
      </c>
      <c r="E6" s="23" t="n">
        <v>0.111</v>
      </c>
      <c r="F6" s="23" t="n">
        <v>0.1</v>
      </c>
      <c r="G6" s="23" t="n">
        <v>0.08</v>
      </c>
    </row>
    <row r="7">
      <c r="A7" s="22" t="inlineStr">
        <is>
          <t>EBITDA margin %</t>
        </is>
      </c>
      <c r="B7" s="23" t="n">
        <v>0.536</v>
      </c>
      <c r="C7" s="23" t="n">
        <v>0.538</v>
      </c>
      <c r="D7" s="23" t="n">
        <v>0.54</v>
      </c>
      <c r="E7" s="23" t="n">
        <v>0.54</v>
      </c>
      <c r="F7" s="23" t="n">
        <v>0.54</v>
      </c>
      <c r="G7" s="23" t="n">
        <v>0.54</v>
      </c>
    </row>
    <row r="8">
      <c r="A8" s="7" t="inlineStr">
        <is>
          <t>EBITDA</t>
        </is>
      </c>
      <c r="B8" s="24" t="n">
        <v>150.08</v>
      </c>
      <c r="C8" s="24" t="n">
        <v>172.18152</v>
      </c>
      <c r="D8" s="24" t="n">
        <v>194.4243</v>
      </c>
      <c r="E8" s="24" t="n">
        <v>216.0053973</v>
      </c>
      <c r="F8" s="24" t="n">
        <v>237.60593703</v>
      </c>
      <c r="G8" s="24" t="n">
        <v>256.6144119924001</v>
      </c>
    </row>
    <row r="9">
      <c r="A9" s="4" t="inlineStr">
        <is>
          <t>(–) D&amp;A</t>
        </is>
      </c>
      <c r="B9" s="25" t="n">
        <v>-22.96</v>
      </c>
      <c r="C9" s="25" t="n">
        <v>-26.24328</v>
      </c>
      <c r="D9" s="25" t="n">
        <v>-29.52369</v>
      </c>
      <c r="E9" s="25" t="n">
        <v>-32.80081959</v>
      </c>
      <c r="F9" s="25" t="n">
        <v>-36.080901549</v>
      </c>
      <c r="G9" s="25" t="n">
        <v>-38.96737367292</v>
      </c>
    </row>
    <row r="10">
      <c r="A10" s="7" t="inlineStr">
        <is>
          <t>EBIT</t>
        </is>
      </c>
      <c r="B10" s="26" t="n">
        <v>127.12</v>
      </c>
      <c r="C10" s="26" t="n">
        <v>145.93824</v>
      </c>
      <c r="D10" s="26" t="n">
        <v>164.90061</v>
      </c>
      <c r="E10" s="26" t="n">
        <v>183.20457771</v>
      </c>
      <c r="F10" s="26" t="n">
        <v>201.525035481</v>
      </c>
      <c r="G10" s="26" t="n">
        <v>217.64703831948</v>
      </c>
    </row>
    <row r="11">
      <c r="A11" s="4" t="inlineStr">
        <is>
          <t>(–) Tax @ 19%</t>
        </is>
      </c>
      <c r="B11" s="25" t="n">
        <v>-24.1528</v>
      </c>
      <c r="C11" s="25" t="n">
        <v>-27.72826560000001</v>
      </c>
      <c r="D11" s="25" t="n">
        <v>-31.33111590000001</v>
      </c>
      <c r="E11" s="25" t="n">
        <v>-34.8088697649</v>
      </c>
      <c r="F11" s="25" t="n">
        <v>-38.28975674139001</v>
      </c>
      <c r="G11" s="25" t="n">
        <v>-41.35293728070121</v>
      </c>
    </row>
    <row r="12">
      <c r="A12" s="7" t="inlineStr">
        <is>
          <t>NOPAT</t>
        </is>
      </c>
      <c r="B12" s="27" t="n">
        <v>102.9672</v>
      </c>
      <c r="C12" s="27" t="n">
        <v>118.2099744</v>
      </c>
      <c r="D12" s="27" t="n">
        <v>133.5694941</v>
      </c>
      <c r="E12" s="27" t="n">
        <v>148.3957079451</v>
      </c>
      <c r="F12" s="27" t="n">
        <v>163.23527873961</v>
      </c>
      <c r="G12" s="27" t="n">
        <v>176.2941010387788</v>
      </c>
    </row>
    <row r="13">
      <c r="A13" s="4" t="inlineStr">
        <is>
          <t>(+) D&amp;A</t>
        </is>
      </c>
      <c r="B13" s="21" t="n">
        <v>22.96</v>
      </c>
      <c r="C13" s="21" t="n">
        <v>26.24328</v>
      </c>
      <c r="D13" s="21" t="n">
        <v>29.52369</v>
      </c>
      <c r="E13" s="21" t="n">
        <v>32.80081959</v>
      </c>
      <c r="F13" s="21" t="n">
        <v>36.080901549</v>
      </c>
      <c r="G13" s="21" t="n">
        <v>38.96737367292</v>
      </c>
    </row>
    <row r="14">
      <c r="A14" s="4" t="inlineStr">
        <is>
          <t>(–) Capex</t>
        </is>
      </c>
      <c r="B14" s="25" t="n">
        <v>-64.40000000000001</v>
      </c>
      <c r="C14" s="25" t="n">
        <v>-68.8086</v>
      </c>
      <c r="D14" s="25" t="n">
        <v>-70.208775</v>
      </c>
      <c r="E14" s="25" t="n">
        <v>-70.00174912499999</v>
      </c>
      <c r="F14" s="25" t="n">
        <v>-70.40175912000001</v>
      </c>
      <c r="G14" s="25" t="n">
        <v>-71.28178110900001</v>
      </c>
    </row>
    <row r="15">
      <c r="A15" s="4" t="inlineStr">
        <is>
          <t>(–) Δ Working Capital</t>
        </is>
      </c>
      <c r="B15" s="25" t="n">
        <v>-2.8</v>
      </c>
      <c r="C15" s="25" t="n">
        <v>-3.2004</v>
      </c>
      <c r="D15" s="25" t="n">
        <v>-3.60045</v>
      </c>
      <c r="E15" s="25" t="n">
        <v>-4.00009995</v>
      </c>
      <c r="F15" s="25" t="n">
        <v>-4.400109945000001</v>
      </c>
      <c r="G15" s="25" t="n">
        <v>-4.752118740600001</v>
      </c>
    </row>
    <row r="16">
      <c r="A16" s="28" t="inlineStr">
        <is>
          <t>Unlevered FCF</t>
        </is>
      </c>
      <c r="B16" s="29" t="n">
        <v>58.7272</v>
      </c>
      <c r="C16" s="29" t="n">
        <v>72.44425440000002</v>
      </c>
      <c r="D16" s="29" t="n">
        <v>89.28395910000003</v>
      </c>
      <c r="E16" s="29" t="n">
        <v>107.1946784601</v>
      </c>
      <c r="F16" s="29" t="n">
        <v>124.51431122361</v>
      </c>
      <c r="G16" s="29" t="n">
        <v>139.2275748620988</v>
      </c>
    </row>
    <row r="17">
      <c r="A17" s="22" t="inlineStr">
        <is>
          <t>Discount factor</t>
        </is>
      </c>
      <c r="C17" s="30" t="n">
        <v>0.9134922809902256</v>
      </c>
      <c r="D17" s="30" t="n">
        <v>0.8344681474287253</v>
      </c>
      <c r="E17" s="30" t="n">
        <v>0.7622802114083542</v>
      </c>
      <c r="F17" s="30" t="n">
        <v>0.6963370890731289</v>
      </c>
      <c r="G17" s="30" t="n">
        <v>0.6360985558355065</v>
      </c>
    </row>
    <row r="18">
      <c r="A18" s="7" t="inlineStr">
        <is>
          <t>PV of FCF</t>
        </is>
      </c>
      <c r="C18" s="27" t="n">
        <v>66.17726719649221</v>
      </c>
      <c r="D18" s="27" t="n">
        <v>74.5046199452791</v>
      </c>
      <c r="E18" s="27" t="n">
        <v>81.71238215841559</v>
      </c>
      <c r="F18" s="27" t="n">
        <v>86.70393302539421</v>
      </c>
      <c r="G18" s="27" t="n">
        <v>88.56245930226093</v>
      </c>
    </row>
    <row r="21">
      <c r="A21" s="3" t="inlineStr">
        <is>
          <t>Terminal Value Calculation</t>
        </is>
      </c>
    </row>
    <row r="22">
      <c r="A22" s="7" t="inlineStr">
        <is>
          <t>Method 1 — Gordon growth (perpetuity)</t>
        </is>
      </c>
      <c r="B22" s="31" t="inlineStr">
        <is>
          <t>FCF·(1+g)/(WACC−g)</t>
        </is>
      </c>
      <c r="G22" s="32" t="n">
        <v>2216.451346336349</v>
      </c>
      <c r="H22" s="33" t="n">
        <v>1409.881500484216</v>
      </c>
    </row>
    <row r="23">
      <c r="A23" s="7" t="inlineStr">
        <is>
          <t>Method 2 — Exit EV/EBITDA multiple</t>
        </is>
      </c>
      <c r="B23" s="31" t="inlineStr">
        <is>
          <t>20.0x × FY30 EBITDA</t>
        </is>
      </c>
      <c r="G23" s="32" t="n">
        <v>5132.288239848001</v>
      </c>
      <c r="H23" s="33" t="n">
        <v>3264.641137498867</v>
      </c>
    </row>
    <row r="24">
      <c r="A24" s="28" t="inlineStr">
        <is>
          <t>Blended TV (50/50)</t>
        </is>
      </c>
      <c r="G24" s="34" t="n">
        <v>3674.369793092175</v>
      </c>
      <c r="H24" s="34" t="n">
        <v>2337.261318991541</v>
      </c>
    </row>
    <row r="26">
      <c r="A26" s="3" t="inlineStr">
        <is>
          <t>Valuation Bridge → Implied Share Price</t>
        </is>
      </c>
    </row>
    <row r="27">
      <c r="A27" s="4" t="inlineStr">
        <is>
          <t>Σ PV of FCF (Yr 1–5)</t>
        </is>
      </c>
      <c r="G27" s="32" t="n">
        <v>397.660661627842</v>
      </c>
    </row>
    <row r="28">
      <c r="A28" s="4" t="inlineStr">
        <is>
          <t>(+) PV of Terminal Value</t>
        </is>
      </c>
      <c r="G28" s="32" t="n">
        <v>2337.261318991541</v>
      </c>
    </row>
    <row r="29">
      <c r="A29" s="7" t="inlineStr">
        <is>
          <t>Enterprise Value</t>
        </is>
      </c>
      <c r="G29" s="33" t="n">
        <v>2734.921980619383</v>
      </c>
    </row>
    <row r="30">
      <c r="A30" s="4" t="inlineStr">
        <is>
          <t>(−) Net Debt</t>
        </is>
      </c>
      <c r="G30" s="19" t="n">
        <v>-24</v>
      </c>
    </row>
    <row r="31">
      <c r="A31" s="7" t="inlineStr">
        <is>
          <t>Equity Value</t>
        </is>
      </c>
      <c r="G31" s="33" t="n">
        <v>2758.921980619383</v>
      </c>
    </row>
    <row r="32">
      <c r="A32" s="4" t="inlineStr">
        <is>
          <t>÷ Diluted Shares (B)</t>
        </is>
      </c>
      <c r="G32" s="6" t="n">
        <v>7.43</v>
      </c>
    </row>
    <row r="33">
      <c r="A33" s="7" t="inlineStr">
        <is>
          <t>Implied Share Price</t>
        </is>
      </c>
      <c r="G33" s="35" t="n">
        <v>371.3219354804015</v>
      </c>
    </row>
    <row r="34">
      <c r="A34" s="4" t="inlineStr">
        <is>
          <t>Current Share Price</t>
        </is>
      </c>
      <c r="G34" s="20" t="n">
        <v>420</v>
      </c>
    </row>
    <row r="35">
      <c r="A35" s="7" t="inlineStr">
        <is>
          <t>Implied Upside / (Down)</t>
        </is>
      </c>
      <c r="G35" s="36" t="n">
        <v>-0.1159001536180916</v>
      </c>
    </row>
    <row r="36">
      <c r="A36" s="4" t="inlineStr">
        <is>
          <t>TV as % of EV</t>
        </is>
      </c>
      <c r="G36" s="5" t="n">
        <v>0.8545989010122392</v>
      </c>
    </row>
  </sheetData>
  <mergeCells count="4">
    <mergeCell ref="A26:H26"/>
    <mergeCell ref="A21:H2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 ht="26" customHeight="1">
      <c r="A1" s="1" t="inlineStr">
        <is>
          <t>DCF Projections — Bull Case</t>
        </is>
      </c>
    </row>
    <row r="2">
      <c r="A2" s="2" t="inlineStr">
        <is>
          <t>WACC 9.47%  •  g = 3.5%  •  Exit Multiple 24.0x</t>
        </is>
      </c>
    </row>
    <row r="4">
      <c r="A4" s="11" t="inlineStr">
        <is>
          <t>($B)</t>
        </is>
      </c>
      <c r="B4" s="11" t="inlineStr">
        <is>
          <t>FY25A</t>
        </is>
      </c>
      <c r="C4" s="11" t="inlineStr">
        <is>
          <t>FY26E</t>
        </is>
      </c>
      <c r="D4" s="11" t="inlineStr">
        <is>
          <t>FY27E</t>
        </is>
      </c>
      <c r="E4" s="11" t="inlineStr">
        <is>
          <t>FY28E</t>
        </is>
      </c>
      <c r="F4" s="11" t="inlineStr">
        <is>
          <t>FY29E</t>
        </is>
      </c>
      <c r="G4" s="11" t="inlineStr">
        <is>
          <t>FY30E</t>
        </is>
      </c>
      <c r="H4" s="11" t="inlineStr">
        <is>
          <t>Terminal</t>
        </is>
      </c>
    </row>
    <row r="5">
      <c r="A5" s="7" t="inlineStr">
        <is>
          <t>Revenue</t>
        </is>
      </c>
      <c r="B5" s="21" t="n">
        <v>280</v>
      </c>
      <c r="C5" s="21" t="n">
        <v>330.4</v>
      </c>
      <c r="D5" s="21" t="n">
        <v>383.264</v>
      </c>
      <c r="E5" s="21" t="n">
        <v>436.92096</v>
      </c>
      <c r="F5" s="21" t="n">
        <v>489.3514752</v>
      </c>
      <c r="G5" s="21" t="n">
        <v>538.2866227200001</v>
      </c>
    </row>
    <row r="6">
      <c r="A6" s="22" t="inlineStr">
        <is>
          <t xml:space="preserve">  Growth %</t>
        </is>
      </c>
      <c r="B6" s="4" t="inlineStr"/>
      <c r="C6" s="23" t="n">
        <v>0.18</v>
      </c>
      <c r="D6" s="23" t="n">
        <v>0.16</v>
      </c>
      <c r="E6" s="23" t="n">
        <v>0.14</v>
      </c>
      <c r="F6" s="23" t="n">
        <v>0.12</v>
      </c>
      <c r="G6" s="23" t="n">
        <v>0.1</v>
      </c>
    </row>
    <row r="7">
      <c r="A7" s="22" t="inlineStr">
        <is>
          <t>EBITDA margin %</t>
        </is>
      </c>
      <c r="B7" s="23" t="n">
        <v>0.536</v>
      </c>
      <c r="C7" s="23" t="n">
        <v>0.545</v>
      </c>
      <c r="D7" s="23" t="n">
        <v>0.555</v>
      </c>
      <c r="E7" s="23" t="n">
        <v>0.5649999999999999</v>
      </c>
      <c r="F7" s="23" t="n">
        <v>0.575</v>
      </c>
      <c r="G7" s="23" t="n">
        <v>0.58</v>
      </c>
    </row>
    <row r="8">
      <c r="A8" s="7" t="inlineStr">
        <is>
          <t>EBITDA</t>
        </is>
      </c>
      <c r="B8" s="24" t="n">
        <v>150.08</v>
      </c>
      <c r="C8" s="24" t="n">
        <v>180.068</v>
      </c>
      <c r="D8" s="24" t="n">
        <v>212.71152</v>
      </c>
      <c r="E8" s="24" t="n">
        <v>246.8603424</v>
      </c>
      <c r="F8" s="24" t="n">
        <v>281.37709824</v>
      </c>
      <c r="G8" s="24" t="n">
        <v>312.2062411776</v>
      </c>
    </row>
    <row r="9">
      <c r="A9" s="4" t="inlineStr">
        <is>
          <t>(–) D&amp;A</t>
        </is>
      </c>
      <c r="B9" s="25" t="n">
        <v>-22.96</v>
      </c>
      <c r="C9" s="25" t="n">
        <v>-27.0928</v>
      </c>
      <c r="D9" s="25" t="n">
        <v>-31.427648</v>
      </c>
      <c r="E9" s="25" t="n">
        <v>-35.82751872</v>
      </c>
      <c r="F9" s="25" t="n">
        <v>-40.1268209664</v>
      </c>
      <c r="G9" s="25" t="n">
        <v>-44.13950306304001</v>
      </c>
    </row>
    <row r="10">
      <c r="A10" s="7" t="inlineStr">
        <is>
          <t>EBIT</t>
        </is>
      </c>
      <c r="B10" s="26" t="n">
        <v>127.12</v>
      </c>
      <c r="C10" s="26" t="n">
        <v>152.9752</v>
      </c>
      <c r="D10" s="26" t="n">
        <v>181.283872</v>
      </c>
      <c r="E10" s="26" t="n">
        <v>211.03282368</v>
      </c>
      <c r="F10" s="26" t="n">
        <v>241.2502772736</v>
      </c>
      <c r="G10" s="26" t="n">
        <v>268.06673811456</v>
      </c>
    </row>
    <row r="11">
      <c r="A11" s="4" t="inlineStr">
        <is>
          <t>(–) Tax @ 19%</t>
        </is>
      </c>
      <c r="B11" s="25" t="n">
        <v>-24.1528</v>
      </c>
      <c r="C11" s="25" t="n">
        <v>-29.065288</v>
      </c>
      <c r="D11" s="25" t="n">
        <v>-34.44393568</v>
      </c>
      <c r="E11" s="25" t="n">
        <v>-40.0962364992</v>
      </c>
      <c r="F11" s="25" t="n">
        <v>-45.837552681984</v>
      </c>
      <c r="G11" s="25" t="n">
        <v>-50.9326802417664</v>
      </c>
    </row>
    <row r="12">
      <c r="A12" s="7" t="inlineStr">
        <is>
          <t>NOPAT</t>
        </is>
      </c>
      <c r="B12" s="27" t="n">
        <v>102.9672</v>
      </c>
      <c r="C12" s="27" t="n">
        <v>123.909912</v>
      </c>
      <c r="D12" s="27" t="n">
        <v>146.83993632</v>
      </c>
      <c r="E12" s="27" t="n">
        <v>170.9365871808</v>
      </c>
      <c r="F12" s="27" t="n">
        <v>195.412724591616</v>
      </c>
      <c r="G12" s="27" t="n">
        <v>217.1340578727936</v>
      </c>
    </row>
    <row r="13">
      <c r="A13" s="4" t="inlineStr">
        <is>
          <t>(+) D&amp;A</t>
        </is>
      </c>
      <c r="B13" s="21" t="n">
        <v>22.96</v>
      </c>
      <c r="C13" s="21" t="n">
        <v>27.0928</v>
      </c>
      <c r="D13" s="21" t="n">
        <v>31.427648</v>
      </c>
      <c r="E13" s="21" t="n">
        <v>35.82751872</v>
      </c>
      <c r="F13" s="21" t="n">
        <v>40.1268209664</v>
      </c>
      <c r="G13" s="21" t="n">
        <v>44.13950306304001</v>
      </c>
    </row>
    <row r="14">
      <c r="A14" s="4" t="inlineStr">
        <is>
          <t>(–) Capex</t>
        </is>
      </c>
      <c r="B14" s="25" t="n">
        <v>-64.40000000000001</v>
      </c>
      <c r="C14" s="25" t="n">
        <v>-71.03599999999999</v>
      </c>
      <c r="D14" s="25" t="n">
        <v>-74.73648</v>
      </c>
      <c r="E14" s="25" t="n">
        <v>-76.46116799999999</v>
      </c>
      <c r="F14" s="25" t="n">
        <v>-78.29623603200001</v>
      </c>
      <c r="G14" s="25" t="n">
        <v>-80.742993408</v>
      </c>
    </row>
    <row r="15">
      <c r="A15" s="4" t="inlineStr">
        <is>
          <t>(–) Δ Working Capital</t>
        </is>
      </c>
      <c r="B15" s="25" t="n">
        <v>-2.8</v>
      </c>
      <c r="C15" s="25" t="n">
        <v>-3.304</v>
      </c>
      <c r="D15" s="25" t="n">
        <v>-3.83264</v>
      </c>
      <c r="E15" s="25" t="n">
        <v>-4.3692096</v>
      </c>
      <c r="F15" s="25" t="n">
        <v>-4.893514752000001</v>
      </c>
      <c r="G15" s="25" t="n">
        <v>-5.382866227200001</v>
      </c>
    </row>
    <row r="16">
      <c r="A16" s="28" t="inlineStr">
        <is>
          <t>Unlevered FCF</t>
        </is>
      </c>
      <c r="B16" s="29" t="n">
        <v>58.7272</v>
      </c>
      <c r="C16" s="29" t="n">
        <v>76.66271200000001</v>
      </c>
      <c r="D16" s="29" t="n">
        <v>99.69846432</v>
      </c>
      <c r="E16" s="29" t="n">
        <v>125.9337283008</v>
      </c>
      <c r="F16" s="29" t="n">
        <v>152.349794774016</v>
      </c>
      <c r="G16" s="29" t="n">
        <v>175.1477013006336</v>
      </c>
    </row>
    <row r="17">
      <c r="A17" s="22" t="inlineStr">
        <is>
          <t>Discount factor</t>
        </is>
      </c>
      <c r="C17" s="30" t="n">
        <v>0.9134922809902256</v>
      </c>
      <c r="D17" s="30" t="n">
        <v>0.8344681474287253</v>
      </c>
      <c r="E17" s="30" t="n">
        <v>0.7622802114083542</v>
      </c>
      <c r="F17" s="30" t="n">
        <v>0.6963370890731289</v>
      </c>
      <c r="G17" s="30" t="n">
        <v>0.6360985558355065</v>
      </c>
    </row>
    <row r="18">
      <c r="A18" s="7" t="inlineStr">
        <is>
          <t>PV of FCF</t>
        </is>
      </c>
      <c r="C18" s="27" t="n">
        <v>70.03079565177676</v>
      </c>
      <c r="D18" s="27" t="n">
        <v>83.19519282259927</v>
      </c>
      <c r="E18" s="27" t="n">
        <v>95.99678903257606</v>
      </c>
      <c r="F18" s="27" t="n">
        <v>106.0868126138269</v>
      </c>
      <c r="G18" s="27" t="n">
        <v>111.4111998552417</v>
      </c>
    </row>
    <row r="21">
      <c r="A21" s="3" t="inlineStr">
        <is>
          <t>Terminal Value Calculation</t>
        </is>
      </c>
    </row>
    <row r="22">
      <c r="A22" s="7" t="inlineStr">
        <is>
          <t>Method 1 — Gordon growth (perpetuity)</t>
        </is>
      </c>
      <c r="B22" s="31" t="inlineStr">
        <is>
          <t>FCF·(1+g)/(WACC−g)</t>
        </is>
      </c>
      <c r="G22" s="32" t="n">
        <v>3036.480248679326</v>
      </c>
      <c r="H22" s="33" t="n">
        <v>1931.500701007958</v>
      </c>
    </row>
    <row r="23">
      <c r="A23" s="7" t="inlineStr">
        <is>
          <t>Method 2 — Exit EV/EBITDA multiple</t>
        </is>
      </c>
      <c r="B23" s="31" t="inlineStr">
        <is>
          <t>24.0x × FY30 EBITDA</t>
        </is>
      </c>
      <c r="G23" s="32" t="n">
        <v>7492.9497882624</v>
      </c>
      <c r="H23" s="33" t="n">
        <v>4766.254539261677</v>
      </c>
    </row>
    <row r="24">
      <c r="A24" s="28" t="inlineStr">
        <is>
          <t>Blended TV (50/50)</t>
        </is>
      </c>
      <c r="G24" s="34" t="n">
        <v>5264.715018470863</v>
      </c>
      <c r="H24" s="34" t="n">
        <v>3348.877620134817</v>
      </c>
    </row>
    <row r="26">
      <c r="A26" s="3" t="inlineStr">
        <is>
          <t>Valuation Bridge → Implied Share Price</t>
        </is>
      </c>
    </row>
    <row r="27">
      <c r="A27" s="4" t="inlineStr">
        <is>
          <t>Σ PV of FCF (Yr 1–5)</t>
        </is>
      </c>
      <c r="G27" s="32" t="n">
        <v>466.7207899760206</v>
      </c>
    </row>
    <row r="28">
      <c r="A28" s="4" t="inlineStr">
        <is>
          <t>(+) PV of Terminal Value</t>
        </is>
      </c>
      <c r="G28" s="32" t="n">
        <v>3348.877620134817</v>
      </c>
    </row>
    <row r="29">
      <c r="A29" s="7" t="inlineStr">
        <is>
          <t>Enterprise Value</t>
        </is>
      </c>
      <c r="G29" s="33" t="n">
        <v>3815.598410110838</v>
      </c>
    </row>
    <row r="30">
      <c r="A30" s="4" t="inlineStr">
        <is>
          <t>(−) Net Debt</t>
        </is>
      </c>
      <c r="G30" s="19" t="n">
        <v>-24</v>
      </c>
    </row>
    <row r="31">
      <c r="A31" s="7" t="inlineStr">
        <is>
          <t>Equity Value</t>
        </is>
      </c>
      <c r="G31" s="33" t="n">
        <v>3839.598410110838</v>
      </c>
    </row>
    <row r="32">
      <c r="A32" s="4" t="inlineStr">
        <is>
          <t>÷ Diluted Shares (B)</t>
        </is>
      </c>
      <c r="G32" s="6" t="n">
        <v>7.43</v>
      </c>
    </row>
    <row r="33">
      <c r="A33" s="7" t="inlineStr">
        <is>
          <t>Implied Share Price</t>
        </is>
      </c>
      <c r="G33" s="35" t="n">
        <v>516.7696379691572</v>
      </c>
    </row>
    <row r="34">
      <c r="A34" s="4" t="inlineStr">
        <is>
          <t>Current Share Price</t>
        </is>
      </c>
      <c r="G34" s="20" t="n">
        <v>420</v>
      </c>
    </row>
    <row r="35">
      <c r="A35" s="7" t="inlineStr">
        <is>
          <t>Implied Upside / (Down)</t>
        </is>
      </c>
      <c r="G35" s="36" t="n">
        <v>0.2304038999265647</v>
      </c>
    </row>
    <row r="36">
      <c r="A36" s="4" t="inlineStr">
        <is>
          <t>TV as % of EV</t>
        </is>
      </c>
      <c r="G36" s="5" t="n">
        <v>0.8776808406410718</v>
      </c>
    </row>
  </sheetData>
  <mergeCells count="4">
    <mergeCell ref="A26:H26"/>
    <mergeCell ref="A21:H2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 ht="26" customHeight="1">
      <c r="A1" s="1" t="inlineStr">
        <is>
          <t>DCF Projections — Bear Case</t>
        </is>
      </c>
    </row>
    <row r="2">
      <c r="A2" s="2" t="inlineStr">
        <is>
          <t>WACC 9.47%  •  g = 2.5%  •  Exit Multiple 16.0x</t>
        </is>
      </c>
    </row>
    <row r="4">
      <c r="A4" s="11" t="inlineStr">
        <is>
          <t>($B)</t>
        </is>
      </c>
      <c r="B4" s="11" t="inlineStr">
        <is>
          <t>FY25A</t>
        </is>
      </c>
      <c r="C4" s="11" t="inlineStr">
        <is>
          <t>FY26E</t>
        </is>
      </c>
      <c r="D4" s="11" t="inlineStr">
        <is>
          <t>FY27E</t>
        </is>
      </c>
      <c r="E4" s="11" t="inlineStr">
        <is>
          <t>FY28E</t>
        </is>
      </c>
      <c r="F4" s="11" t="inlineStr">
        <is>
          <t>FY29E</t>
        </is>
      </c>
      <c r="G4" s="11" t="inlineStr">
        <is>
          <t>FY30E</t>
        </is>
      </c>
      <c r="H4" s="11" t="inlineStr">
        <is>
          <t>Terminal</t>
        </is>
      </c>
    </row>
    <row r="5">
      <c r="A5" s="7" t="inlineStr">
        <is>
          <t>Revenue</t>
        </is>
      </c>
      <c r="B5" s="21" t="n">
        <v>280</v>
      </c>
      <c r="C5" s="21" t="n">
        <v>308</v>
      </c>
      <c r="D5" s="21" t="n">
        <v>335.72</v>
      </c>
      <c r="E5" s="21" t="n">
        <v>362.5776000000001</v>
      </c>
      <c r="F5" s="21" t="n">
        <v>387.9580320000001</v>
      </c>
      <c r="G5" s="21" t="n">
        <v>411.2355139200001</v>
      </c>
    </row>
    <row r="6">
      <c r="A6" s="22" t="inlineStr">
        <is>
          <t xml:space="preserve">  Growth %</t>
        </is>
      </c>
      <c r="B6" s="4" t="inlineStr"/>
      <c r="C6" s="23" t="n">
        <v>0.1</v>
      </c>
      <c r="D6" s="23" t="n">
        <v>0.09</v>
      </c>
      <c r="E6" s="23" t="n">
        <v>0.08</v>
      </c>
      <c r="F6" s="23" t="n">
        <v>0.07000000000000001</v>
      </c>
      <c r="G6" s="23" t="n">
        <v>0.06</v>
      </c>
    </row>
    <row r="7">
      <c r="A7" s="22" t="inlineStr">
        <is>
          <t>EBITDA margin %</t>
        </is>
      </c>
      <c r="B7" s="23" t="n">
        <v>0.536</v>
      </c>
      <c r="C7" s="23" t="n">
        <v>0.51</v>
      </c>
      <c r="D7" s="23" t="n">
        <v>0.49</v>
      </c>
      <c r="E7" s="23" t="n">
        <v>0.475</v>
      </c>
      <c r="F7" s="23" t="n">
        <v>0.47</v>
      </c>
      <c r="G7" s="23" t="n">
        <v>0.46</v>
      </c>
    </row>
    <row r="8">
      <c r="A8" s="7" t="inlineStr">
        <is>
          <t>EBITDA</t>
        </is>
      </c>
      <c r="B8" s="24" t="n">
        <v>150.08</v>
      </c>
      <c r="C8" s="24" t="n">
        <v>157.08</v>
      </c>
      <c r="D8" s="24" t="n">
        <v>164.5028</v>
      </c>
      <c r="E8" s="24" t="n">
        <v>172.22436</v>
      </c>
      <c r="F8" s="24" t="n">
        <v>182.3402750400001</v>
      </c>
      <c r="G8" s="24" t="n">
        <v>189.1683364032001</v>
      </c>
    </row>
    <row r="9">
      <c r="A9" s="4" t="inlineStr">
        <is>
          <t>(–) D&amp;A</t>
        </is>
      </c>
      <c r="B9" s="25" t="n">
        <v>-22.96</v>
      </c>
      <c r="C9" s="25" t="n">
        <v>-25.256</v>
      </c>
      <c r="D9" s="25" t="n">
        <v>-27.52904</v>
      </c>
      <c r="E9" s="25" t="n">
        <v>-29.73136320000001</v>
      </c>
      <c r="F9" s="25" t="n">
        <v>-31.81255862400001</v>
      </c>
      <c r="G9" s="25" t="n">
        <v>-33.72131214144001</v>
      </c>
    </row>
    <row r="10">
      <c r="A10" s="7" t="inlineStr">
        <is>
          <t>EBIT</t>
        </is>
      </c>
      <c r="B10" s="26" t="n">
        <v>127.12</v>
      </c>
      <c r="C10" s="26" t="n">
        <v>131.824</v>
      </c>
      <c r="D10" s="26" t="n">
        <v>136.97376</v>
      </c>
      <c r="E10" s="26" t="n">
        <v>142.4929968</v>
      </c>
      <c r="F10" s="26" t="n">
        <v>150.527716416</v>
      </c>
      <c r="G10" s="26" t="n">
        <v>155.4470242617601</v>
      </c>
    </row>
    <row r="11">
      <c r="A11" s="4" t="inlineStr">
        <is>
          <t>(–) Tax @ 19%</t>
        </is>
      </c>
      <c r="B11" s="25" t="n">
        <v>-24.1528</v>
      </c>
      <c r="C11" s="25" t="n">
        <v>-25.04656</v>
      </c>
      <c r="D11" s="25" t="n">
        <v>-26.0250144</v>
      </c>
      <c r="E11" s="25" t="n">
        <v>-27.073669392</v>
      </c>
      <c r="F11" s="25" t="n">
        <v>-28.60026611904001</v>
      </c>
      <c r="G11" s="25" t="n">
        <v>-29.53493460973441</v>
      </c>
    </row>
    <row r="12">
      <c r="A12" s="7" t="inlineStr">
        <is>
          <t>NOPAT</t>
        </is>
      </c>
      <c r="B12" s="27" t="n">
        <v>102.9672</v>
      </c>
      <c r="C12" s="27" t="n">
        <v>106.77744</v>
      </c>
      <c r="D12" s="27" t="n">
        <v>110.9487456</v>
      </c>
      <c r="E12" s="27" t="n">
        <v>115.419327408</v>
      </c>
      <c r="F12" s="27" t="n">
        <v>121.92745029696</v>
      </c>
      <c r="G12" s="27" t="n">
        <v>125.9120896520257</v>
      </c>
    </row>
    <row r="13">
      <c r="A13" s="4" t="inlineStr">
        <is>
          <t>(+) D&amp;A</t>
        </is>
      </c>
      <c r="B13" s="21" t="n">
        <v>22.96</v>
      </c>
      <c r="C13" s="21" t="n">
        <v>25.256</v>
      </c>
      <c r="D13" s="21" t="n">
        <v>27.52904</v>
      </c>
      <c r="E13" s="21" t="n">
        <v>29.73136320000001</v>
      </c>
      <c r="F13" s="21" t="n">
        <v>31.81255862400001</v>
      </c>
      <c r="G13" s="21" t="n">
        <v>33.72131214144001</v>
      </c>
    </row>
    <row r="14">
      <c r="A14" s="4" t="inlineStr">
        <is>
          <t>(–) Capex</t>
        </is>
      </c>
      <c r="B14" s="25" t="n">
        <v>-64.40000000000001</v>
      </c>
      <c r="C14" s="25" t="n">
        <v>-66.22</v>
      </c>
      <c r="D14" s="25" t="n">
        <v>-65.4654</v>
      </c>
      <c r="E14" s="25" t="n">
        <v>-63.45108000000001</v>
      </c>
      <c r="F14" s="25" t="n">
        <v>-62.07328512000002</v>
      </c>
      <c r="G14" s="25" t="n">
        <v>-61.68532708800002</v>
      </c>
    </row>
    <row r="15">
      <c r="A15" s="4" t="inlineStr">
        <is>
          <t>(–) Δ Working Capital</t>
        </is>
      </c>
      <c r="B15" s="25" t="n">
        <v>-2.8</v>
      </c>
      <c r="C15" s="25" t="n">
        <v>-3.08</v>
      </c>
      <c r="D15" s="25" t="n">
        <v>-3.3572</v>
      </c>
      <c r="E15" s="25" t="n">
        <v>-3.625776000000001</v>
      </c>
      <c r="F15" s="25" t="n">
        <v>-3.879580320000001</v>
      </c>
      <c r="G15" s="25" t="n">
        <v>-4.112355139200002</v>
      </c>
    </row>
    <row r="16">
      <c r="A16" s="28" t="inlineStr">
        <is>
          <t>Unlevered FCF</t>
        </is>
      </c>
      <c r="B16" s="29" t="n">
        <v>58.7272</v>
      </c>
      <c r="C16" s="29" t="n">
        <v>62.73344000000002</v>
      </c>
      <c r="D16" s="29" t="n">
        <v>69.6551856</v>
      </c>
      <c r="E16" s="29" t="n">
        <v>78.073834608</v>
      </c>
      <c r="F16" s="29" t="n">
        <v>87.78714348096001</v>
      </c>
      <c r="G16" s="29" t="n">
        <v>93.83571956626567</v>
      </c>
    </row>
    <row r="17">
      <c r="A17" s="22" t="inlineStr">
        <is>
          <t>Discount factor</t>
        </is>
      </c>
      <c r="C17" s="30" t="n">
        <v>0.9134922809902256</v>
      </c>
      <c r="D17" s="30" t="n">
        <v>0.8344681474287253</v>
      </c>
      <c r="E17" s="30" t="n">
        <v>0.7622802114083542</v>
      </c>
      <c r="F17" s="30" t="n">
        <v>0.6963370890731289</v>
      </c>
      <c r="G17" s="30" t="n">
        <v>0.6360985558355065</v>
      </c>
    </row>
    <row r="18">
      <c r="A18" s="7" t="inlineStr">
        <is>
          <t>PV of FCF</t>
        </is>
      </c>
      <c r="C18" s="27" t="n">
        <v>57.30651319996348</v>
      </c>
      <c r="D18" s="27" t="n">
        <v>58.12503368643602</v>
      </c>
      <c r="E18" s="27" t="n">
        <v>59.51413915044712</v>
      </c>
      <c r="F18" s="27" t="n">
        <v>61.1294439495768</v>
      </c>
      <c r="G18" s="27" t="n">
        <v>59.68876570188716</v>
      </c>
    </row>
    <row r="21">
      <c r="A21" s="3" t="inlineStr">
        <is>
          <t>Terminal Value Calculation</t>
        </is>
      </c>
    </row>
    <row r="22">
      <c r="A22" s="7" t="inlineStr">
        <is>
          <t>Method 1 — Gordon growth (perpetuity)</t>
        </is>
      </c>
      <c r="B22" s="31" t="inlineStr">
        <is>
          <t>FCF·(1+g)/(WACC−g)</t>
        </is>
      </c>
      <c r="G22" s="32" t="n">
        <v>1379.937052445083</v>
      </c>
      <c r="H22" s="33" t="n">
        <v>877.7759662042229</v>
      </c>
    </row>
    <row r="23">
      <c r="A23" s="7" t="inlineStr">
        <is>
          <t>Method 2 — Exit EV/EBITDA multiple</t>
        </is>
      </c>
      <c r="B23" s="31" t="inlineStr">
        <is>
          <t>16.0x × FY30 EBITDA</t>
        </is>
      </c>
      <c r="G23" s="32" t="n">
        <v>3026.693382451201</v>
      </c>
      <c r="H23" s="33" t="n">
        <v>1925.275289534093</v>
      </c>
    </row>
    <row r="24">
      <c r="A24" s="28" t="inlineStr">
        <is>
          <t>Blended TV (50/50)</t>
        </is>
      </c>
      <c r="G24" s="34" t="n">
        <v>2203.315217448142</v>
      </c>
      <c r="H24" s="34" t="n">
        <v>1401.525627869158</v>
      </c>
    </row>
    <row r="26">
      <c r="A26" s="3" t="inlineStr">
        <is>
          <t>Valuation Bridge → Implied Share Price</t>
        </is>
      </c>
    </row>
    <row r="27">
      <c r="A27" s="4" t="inlineStr">
        <is>
          <t>Σ PV of FCF (Yr 1–5)</t>
        </is>
      </c>
      <c r="G27" s="32" t="n">
        <v>295.7638956883106</v>
      </c>
    </row>
    <row r="28">
      <c r="A28" s="4" t="inlineStr">
        <is>
          <t>(+) PV of Terminal Value</t>
        </is>
      </c>
      <c r="G28" s="32" t="n">
        <v>1401.525627869158</v>
      </c>
    </row>
    <row r="29">
      <c r="A29" s="7" t="inlineStr">
        <is>
          <t>Enterprise Value</t>
        </is>
      </c>
      <c r="G29" s="33" t="n">
        <v>1697.289523557469</v>
      </c>
    </row>
    <row r="30">
      <c r="A30" s="4" t="inlineStr">
        <is>
          <t>(−) Net Debt</t>
        </is>
      </c>
      <c r="G30" s="19" t="n">
        <v>-24</v>
      </c>
    </row>
    <row r="31">
      <c r="A31" s="7" t="inlineStr">
        <is>
          <t>Equity Value</t>
        </is>
      </c>
      <c r="G31" s="33" t="n">
        <v>1721.289523557469</v>
      </c>
    </row>
    <row r="32">
      <c r="A32" s="4" t="inlineStr">
        <is>
          <t>÷ Diluted Shares (B)</t>
        </is>
      </c>
      <c r="G32" s="6" t="n">
        <v>7.43</v>
      </c>
    </row>
    <row r="33">
      <c r="A33" s="7" t="inlineStr">
        <is>
          <t>Implied Share Price</t>
        </is>
      </c>
      <c r="G33" s="35" t="n">
        <v>231.6674998058504</v>
      </c>
    </row>
    <row r="34">
      <c r="A34" s="4" t="inlineStr">
        <is>
          <t>Current Share Price</t>
        </is>
      </c>
      <c r="G34" s="20" t="n">
        <v>420</v>
      </c>
    </row>
    <row r="35">
      <c r="A35" s="7" t="inlineStr">
        <is>
          <t>Implied Upside / (Down)</t>
        </is>
      </c>
      <c r="G35" s="36" t="n">
        <v>-0.4484107147479752</v>
      </c>
    </row>
    <row r="36">
      <c r="A36" s="4" t="inlineStr">
        <is>
          <t>TV as % of EV</t>
        </is>
      </c>
      <c r="G36" s="5" t="n">
        <v>0.8257434034775645</v>
      </c>
    </row>
  </sheetData>
  <mergeCells count="4">
    <mergeCell ref="A26:H26"/>
    <mergeCell ref="A21:H21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Sensitivity Analysis — Base Case</t>
        </is>
      </c>
    </row>
    <row r="2">
      <c r="A2" s="2" t="inlineStr">
        <is>
          <t>Implied share price; current $420.00</t>
        </is>
      </c>
    </row>
    <row r="4">
      <c r="A4" s="3" t="inlineStr">
        <is>
          <t>Implied Share Price — WACC vs. Terminal Growth</t>
        </is>
      </c>
    </row>
    <row r="5">
      <c r="A5" s="28" t="inlineStr">
        <is>
          <t>g ↓  /  WACC →</t>
        </is>
      </c>
      <c r="B5" s="37" t="n">
        <v>0.08</v>
      </c>
      <c r="C5" s="37" t="n">
        <v>0.08500000000000001</v>
      </c>
      <c r="D5" s="37" t="n">
        <v>0.09</v>
      </c>
      <c r="E5" s="37" t="n">
        <v>0.09470000000000001</v>
      </c>
      <c r="F5" s="37" t="n">
        <v>0.1</v>
      </c>
      <c r="G5" s="37" t="n">
        <v>0.105</v>
      </c>
      <c r="H5" s="37" t="n">
        <v>0.11</v>
      </c>
    </row>
    <row r="6">
      <c r="A6" s="37" t="n">
        <v>0.02</v>
      </c>
      <c r="B6" s="38" t="n">
        <v>402.5433405795403</v>
      </c>
      <c r="C6" s="39" t="n">
        <v>385.7433198867073</v>
      </c>
      <c r="D6" s="39" t="n">
        <v>370.6827145787619</v>
      </c>
      <c r="E6" s="39" t="n">
        <v>357.8229511195713</v>
      </c>
      <c r="F6" s="39" t="n">
        <v>344.5715226480727</v>
      </c>
      <c r="G6" s="39" t="n">
        <v>333.0921011332056</v>
      </c>
      <c r="H6" s="39" t="n">
        <v>322.455555950775</v>
      </c>
    </row>
    <row r="7">
      <c r="A7" s="37" t="n">
        <v>0.025</v>
      </c>
      <c r="B7" s="38" t="n">
        <v>412.9777408258897</v>
      </c>
      <c r="C7" s="39" t="n">
        <v>394.4108007923809</v>
      </c>
      <c r="D7" s="39" t="n">
        <v>377.9766021527327</v>
      </c>
      <c r="E7" s="39" t="n">
        <v>364.0882616514631</v>
      </c>
      <c r="F7" s="39" t="n">
        <v>349.9043124074189</v>
      </c>
      <c r="G7" s="39" t="n">
        <v>337.7129145074975</v>
      </c>
      <c r="H7" s="39" t="n">
        <v>326.4894371432889</v>
      </c>
    </row>
    <row r="8">
      <c r="A8" s="37" t="n">
        <v>0.03</v>
      </c>
      <c r="B8" s="40" t="n">
        <v>425.4990211215089</v>
      </c>
      <c r="C8" s="38" t="n">
        <v>404.654187317268</v>
      </c>
      <c r="D8" s="39" t="n">
        <v>386.4861376556987</v>
      </c>
      <c r="E8" s="39" t="n">
        <v>371.3219354804016</v>
      </c>
      <c r="F8" s="39" t="n">
        <v>355.9989292752431</v>
      </c>
      <c r="G8" s="39" t="n">
        <v>342.9498363316949</v>
      </c>
      <c r="H8" s="39" t="n">
        <v>331.027553484867</v>
      </c>
    </row>
    <row r="9">
      <c r="A9" s="37" t="n">
        <v>0.035</v>
      </c>
      <c r="B9" s="40" t="n">
        <v>440.8028081494879</v>
      </c>
      <c r="C9" s="38" t="n">
        <v>416.9462511471323</v>
      </c>
      <c r="D9" s="39" t="n">
        <v>396.5428614319312</v>
      </c>
      <c r="E9" s="39" t="n">
        <v>379.7672799674537</v>
      </c>
      <c r="F9" s="39" t="n">
        <v>363.031179507348</v>
      </c>
      <c r="G9" s="39" t="n">
        <v>348.9348898450634</v>
      </c>
      <c r="H9" s="39" t="n">
        <v>336.1707520053221</v>
      </c>
    </row>
    <row r="10">
      <c r="A10" s="37" t="n">
        <v>0.04</v>
      </c>
      <c r="B10" s="40" t="n">
        <v>459.9325419344616</v>
      </c>
      <c r="C10" s="40" t="n">
        <v>431.9698847169667</v>
      </c>
      <c r="D10" s="38" t="n">
        <v>408.6109299634102</v>
      </c>
      <c r="E10" s="39" t="n">
        <v>389.7565631175866</v>
      </c>
      <c r="F10" s="39" t="n">
        <v>371.2354714448036</v>
      </c>
      <c r="G10" s="39" t="n">
        <v>355.840720822027</v>
      </c>
      <c r="H10" s="39" t="n">
        <v>342.0486931715566</v>
      </c>
    </row>
    <row r="13">
      <c r="A13" s="3" t="inlineStr">
        <is>
          <t>Implied Share Price — WACC vs. Exit EV/EBITDA Multiple</t>
        </is>
      </c>
    </row>
    <row r="14">
      <c r="A14" s="28" t="inlineStr">
        <is>
          <t>Exit ↓  /  WACC →</t>
        </is>
      </c>
      <c r="B14" s="37" t="n">
        <v>0.08</v>
      </c>
      <c r="C14" s="37" t="n">
        <v>0.08500000000000001</v>
      </c>
      <c r="D14" s="37" t="n">
        <v>0.09</v>
      </c>
      <c r="E14" s="37" t="n">
        <v>0.09470000000000001</v>
      </c>
      <c r="F14" s="37" t="n">
        <v>0.1</v>
      </c>
      <c r="G14" s="37" t="n">
        <v>0.105</v>
      </c>
      <c r="H14" s="37" t="n">
        <v>0.11</v>
      </c>
    </row>
    <row r="15">
      <c r="A15" s="41" t="n">
        <v>16</v>
      </c>
      <c r="B15" s="39" t="n">
        <v>378.4875926104121</v>
      </c>
      <c r="C15" s="39" t="n">
        <v>358.7160338191794</v>
      </c>
      <c r="D15" s="39" t="n">
        <v>341.5919894644859</v>
      </c>
      <c r="E15" s="39" t="n">
        <v>327.3832929837815</v>
      </c>
      <c r="F15" s="39" t="n">
        <v>313.1086573478223</v>
      </c>
      <c r="G15" s="39" t="n">
        <v>301.0211905812562</v>
      </c>
      <c r="H15" s="39" t="n">
        <v>290.0347772814064</v>
      </c>
    </row>
    <row r="16">
      <c r="A16" s="41" t="n">
        <v>18</v>
      </c>
      <c r="B16" s="38" t="n">
        <v>401.9933068659604</v>
      </c>
      <c r="C16" s="39" t="n">
        <v>381.6851105682237</v>
      </c>
      <c r="D16" s="39" t="n">
        <v>364.0390635600923</v>
      </c>
      <c r="E16" s="39" t="n">
        <v>349.3526142320916</v>
      </c>
      <c r="F16" s="39" t="n">
        <v>334.5537933115327</v>
      </c>
      <c r="G16" s="39" t="n">
        <v>321.9855134564756</v>
      </c>
      <c r="H16" s="39" t="n">
        <v>310.5311653831367</v>
      </c>
    </row>
    <row r="17">
      <c r="A17" s="41" t="n">
        <v>20</v>
      </c>
      <c r="B17" s="40" t="n">
        <v>425.4990211215089</v>
      </c>
      <c r="C17" s="38" t="n">
        <v>404.654187317268</v>
      </c>
      <c r="D17" s="39" t="n">
        <v>386.4861376556987</v>
      </c>
      <c r="E17" s="39" t="n">
        <v>371.3219354804016</v>
      </c>
      <c r="F17" s="39" t="n">
        <v>355.9989292752431</v>
      </c>
      <c r="G17" s="39" t="n">
        <v>342.9498363316949</v>
      </c>
      <c r="H17" s="39" t="n">
        <v>331.027553484867</v>
      </c>
    </row>
    <row r="18">
      <c r="A18" s="41" t="n">
        <v>22</v>
      </c>
      <c r="B18" s="40" t="n">
        <v>449.0047353770572</v>
      </c>
      <c r="C18" s="40" t="n">
        <v>427.6232640663122</v>
      </c>
      <c r="D18" s="38" t="n">
        <v>408.9332117513051</v>
      </c>
      <c r="E18" s="39" t="n">
        <v>393.2912567287116</v>
      </c>
      <c r="F18" s="39" t="n">
        <v>377.4440652389535</v>
      </c>
      <c r="G18" s="39" t="n">
        <v>363.9141592069143</v>
      </c>
      <c r="H18" s="39" t="n">
        <v>351.5239415865972</v>
      </c>
    </row>
    <row r="19">
      <c r="A19" s="41" t="n">
        <v>24</v>
      </c>
      <c r="B19" s="40" t="n">
        <v>472.5104496326055</v>
      </c>
      <c r="C19" s="40" t="n">
        <v>450.5923408153565</v>
      </c>
      <c r="D19" s="40" t="n">
        <v>431.3802858469114</v>
      </c>
      <c r="E19" s="38" t="n">
        <v>415.2605779770216</v>
      </c>
      <c r="F19" s="39" t="n">
        <v>398.8892012026639</v>
      </c>
      <c r="G19" s="39" t="n">
        <v>384.8784820821337</v>
      </c>
      <c r="H19" s="39" t="n">
        <v>372.0203296883275</v>
      </c>
    </row>
  </sheetData>
  <mergeCells count="4">
    <mergeCell ref="A4:H4"/>
    <mergeCell ref="A1:J1"/>
    <mergeCell ref="A13:H13"/>
    <mergeCell ref="A2:J2"/>
  </mergeCells>
  <conditionalFormatting sqref="B6:H10">
    <cfRule type="colorScale" priority="1">
      <colorScale>
        <cfvo type="min"/>
        <cfvo type="percentile" val="50"/>
        <cfvo type="max"/>
        <color rgb="00F8CBAD"/>
        <color rgb="00FFE699"/>
        <color rgb="00C6EFCE"/>
      </colorScale>
    </cfRule>
  </conditionalFormatting>
  <conditionalFormatting sqref="B15:H19">
    <cfRule type="colorScale" priority="2">
      <colorScale>
        <cfvo type="min"/>
        <cfvo type="percentile" val="50"/>
        <cfvo type="max"/>
        <color rgb="00F8CBAD"/>
        <color rgb="00FFE699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6" customHeight="1">
      <c r="A1" s="1" t="inlineStr">
        <is>
          <t>Microsoft DCF — Valuation Summary</t>
        </is>
      </c>
    </row>
    <row r="2">
      <c r="A2" s="2" t="inlineStr">
        <is>
          <t>Bear / Base / Bull   •   USD billions, except per-share</t>
        </is>
      </c>
    </row>
    <row r="4">
      <c r="A4" s="3" t="inlineStr">
        <is>
          <t>Valuation Output by Case</t>
        </is>
      </c>
    </row>
    <row r="5">
      <c r="A5" s="11" t="inlineStr">
        <is>
          <t>($B unless noted)</t>
        </is>
      </c>
      <c r="B5" s="11" t="inlineStr">
        <is>
          <t>Bear</t>
        </is>
      </c>
      <c r="C5" s="11" t="inlineStr">
        <is>
          <t>Base</t>
        </is>
      </c>
      <c r="D5" s="11" t="inlineStr">
        <is>
          <t>Bull</t>
        </is>
      </c>
      <c r="E5" s="11" t="inlineStr"/>
      <c r="F5" s="11" t="inlineStr"/>
    </row>
    <row r="6">
      <c r="A6" s="4" t="inlineStr">
        <is>
          <t>FY30E Revenue</t>
        </is>
      </c>
      <c r="B6" s="21" t="n">
        <v>411.2355139200001</v>
      </c>
      <c r="C6" s="42" t="n">
        <v>475.2118740600001</v>
      </c>
      <c r="D6" s="21" t="n">
        <v>538.2866227200001</v>
      </c>
    </row>
    <row r="7">
      <c r="A7" s="4" t="inlineStr">
        <is>
          <t>FY30E EBITDA</t>
        </is>
      </c>
      <c r="B7" s="21" t="n">
        <v>189.1683364032001</v>
      </c>
      <c r="C7" s="42" t="n">
        <v>256.6144119924001</v>
      </c>
      <c r="D7" s="21" t="n">
        <v>312.2062411776</v>
      </c>
    </row>
    <row r="8">
      <c r="A8" s="4" t="inlineStr">
        <is>
          <t>Exit EV/EBITDA</t>
        </is>
      </c>
      <c r="B8" s="43" t="n">
        <v>16</v>
      </c>
      <c r="C8" s="44" t="n">
        <v>20</v>
      </c>
      <c r="D8" s="43" t="n">
        <v>24</v>
      </c>
    </row>
    <row r="9">
      <c r="A9" s="4" t="inlineStr">
        <is>
          <t>WACC</t>
        </is>
      </c>
      <c r="B9" s="9" t="n">
        <v>0.09470000000000001</v>
      </c>
      <c r="C9" s="45" t="n">
        <v>0.09470000000000001</v>
      </c>
      <c r="D9" s="9" t="n">
        <v>0.09470000000000001</v>
      </c>
    </row>
    <row r="10">
      <c r="A10" s="4" t="inlineStr">
        <is>
          <t>Terminal growth (g)</t>
        </is>
      </c>
      <c r="B10" s="9" t="n">
        <v>0.025</v>
      </c>
      <c r="C10" s="45" t="n">
        <v>0.03</v>
      </c>
      <c r="D10" s="9" t="n">
        <v>0.035</v>
      </c>
    </row>
    <row r="11">
      <c r="A11" s="7" t="inlineStr">
        <is>
          <t>Implied Enterprise Value</t>
        </is>
      </c>
      <c r="B11" s="46" t="n">
        <v>1697.289523557469</v>
      </c>
      <c r="C11" s="33" t="n">
        <v>2734.921980619383</v>
      </c>
      <c r="D11" s="46" t="n">
        <v>3815.598410110838</v>
      </c>
    </row>
    <row r="12">
      <c r="A12" s="4" t="inlineStr">
        <is>
          <t>Implied Equity Value</t>
        </is>
      </c>
      <c r="B12" s="32" t="n">
        <v>1721.289523557469</v>
      </c>
      <c r="C12" s="47" t="n">
        <v>2758.921980619383</v>
      </c>
      <c r="D12" s="32" t="n">
        <v>3839.598410110838</v>
      </c>
    </row>
    <row r="13">
      <c r="A13" s="7" t="inlineStr">
        <is>
          <t>Implied Share Price</t>
        </is>
      </c>
      <c r="B13" s="48" t="n">
        <v>231.6674998058504</v>
      </c>
      <c r="C13" s="35" t="n">
        <v>371.3219354804015</v>
      </c>
      <c r="D13" s="48" t="n">
        <v>516.7696379691572</v>
      </c>
    </row>
    <row r="14">
      <c r="A14" s="4" t="inlineStr">
        <is>
          <t>Current Share Price</t>
        </is>
      </c>
      <c r="B14" s="20" t="n">
        <v>420</v>
      </c>
      <c r="C14" s="49" t="n">
        <v>420</v>
      </c>
      <c r="D14" s="20" t="n">
        <v>420</v>
      </c>
    </row>
    <row r="15">
      <c r="A15" s="7" t="inlineStr">
        <is>
          <t>Upside / (Downside)</t>
        </is>
      </c>
      <c r="B15" s="50" t="n">
        <v>-0.4484107147479752</v>
      </c>
      <c r="C15" s="36" t="n">
        <v>-0.1159001536180916</v>
      </c>
      <c r="D15" s="50" t="n">
        <v>0.2304038999265647</v>
      </c>
    </row>
    <row r="16">
      <c r="A16" s="4" t="inlineStr">
        <is>
          <t>TV as % of EV</t>
        </is>
      </c>
      <c r="B16" s="5" t="n">
        <v>0.8257434034775645</v>
      </c>
      <c r="C16" s="51" t="n">
        <v>0.8545989010122392</v>
      </c>
      <c r="D16" s="5" t="n">
        <v>0.8776808406410718</v>
      </c>
    </row>
    <row r="19">
      <c r="A19" s="3" t="inlineStr">
        <is>
          <t>Cross-Check vs. Trading Comps (Base case implied)</t>
        </is>
      </c>
    </row>
    <row r="20">
      <c r="A20" s="11" t="inlineStr">
        <is>
          <t>Metric</t>
        </is>
      </c>
      <c r="B20" s="11" t="inlineStr">
        <is>
          <t>Value</t>
        </is>
      </c>
      <c r="C20" s="11" t="inlineStr"/>
      <c r="D20" s="11" t="inlineStr"/>
      <c r="E20" s="11" t="inlineStr"/>
      <c r="F20" s="11" t="inlineStr">
        <is>
          <t>Comment</t>
        </is>
      </c>
    </row>
    <row r="21">
      <c r="A21" s="4" t="inlineStr">
        <is>
          <t>Peer median EV/Revenue (NTM)</t>
        </is>
      </c>
      <c r="B21" s="43" t="n">
        <v>6.7</v>
      </c>
      <c r="F21" s="15" t="inlineStr">
        <is>
          <t>↔ peer median 6.7x</t>
        </is>
      </c>
    </row>
    <row r="22">
      <c r="A22" s="52" t="inlineStr">
        <is>
          <t>DCF-implied EV/Revenue (NTM)</t>
        </is>
      </c>
      <c r="B22" s="53" t="n">
        <v>8.546631189435573</v>
      </c>
      <c r="F22" s="15" t="inlineStr">
        <is>
          <t>Base EV ÷ FY26E rev</t>
        </is>
      </c>
    </row>
    <row r="23">
      <c r="A23" s="4" t="inlineStr">
        <is>
          <t>Peer median EV/EBITDA (NTM)</t>
        </is>
      </c>
      <c r="B23" s="43" t="n">
        <v>16.4</v>
      </c>
      <c r="F23" s="15" t="inlineStr">
        <is>
          <t>↔ peer median 16.4x</t>
        </is>
      </c>
    </row>
    <row r="24">
      <c r="A24" s="52" t="inlineStr">
        <is>
          <t>DCF-implied EV/EBITDA (NTM)</t>
        </is>
      </c>
      <c r="B24" s="53" t="n">
        <v>15.90070918964758</v>
      </c>
      <c r="F24" s="15" t="inlineStr">
        <is>
          <t>Base EV ÷ FY26E EBITDA</t>
        </is>
      </c>
    </row>
    <row r="25">
      <c r="A25" s="4" t="inlineStr">
        <is>
          <t>Peer median P/E (NTM)</t>
        </is>
      </c>
      <c r="B25" s="43" t="n">
        <v>27.1</v>
      </c>
      <c r="F25" s="15" t="inlineStr">
        <is>
          <t>↔ peer median 27.1x</t>
        </is>
      </c>
    </row>
    <row r="28">
      <c r="A28" s="3" t="inlineStr">
        <is>
          <t>Recommendation &amp; Key Observations</t>
        </is>
      </c>
    </row>
    <row r="29">
      <c r="A29" s="54" t="inlineStr">
        <is>
          <t>Recommendation: UNDERPERFORM  •  Base-case implied price $371.32  (-11.6% vs current $420.00).  Range: Bear -45% / Bull +23%.</t>
        </is>
      </c>
    </row>
    <row r="30">
      <c r="A30" s="55" t="inlineStr"/>
    </row>
    <row r="31">
      <c r="A31" s="56" t="inlineStr">
        <is>
          <t>Key Observations:</t>
        </is>
      </c>
    </row>
    <row r="32">
      <c r="A32" s="57" t="inlineStr">
        <is>
          <t xml:space="preserve">  • At current $420, MSFT is priced near our base-case fair value — stock requires bull-case</t>
        </is>
      </c>
    </row>
    <row r="33">
      <c r="A33" s="55" t="inlineStr">
        <is>
          <t xml:space="preserve">    execution (Azure/AI accel &gt;16% CAGR + margin expansion to 58%) to deliver meaningful upside.</t>
        </is>
      </c>
    </row>
    <row r="34">
      <c r="A34" s="57" t="inlineStr">
        <is>
          <t xml:space="preserve">  • Terminal value represents 85% of EV — elevated vs. typical 50-70% range,</t>
        </is>
      </c>
    </row>
    <row r="35">
      <c r="A35" s="55" t="inlineStr">
        <is>
          <t xml:space="preserve">    reflecting MSFT's long-duration growth profile but increasing model sensitivity to TV inputs.</t>
        </is>
      </c>
    </row>
    <row r="36">
      <c r="A36" s="57" t="inlineStr">
        <is>
          <t xml:space="preserve">  • Cross-check: DCF-implied EV/EBITDA on FY26E sits modestly below peer median 16.4x,</t>
        </is>
      </c>
    </row>
    <row r="37">
      <c r="A37" s="55" t="inlineStr">
        <is>
          <t xml:space="preserve">    suggesting valuation is broadly consistent with peer trading levels.</t>
        </is>
      </c>
    </row>
    <row r="38">
      <c r="A38" s="55" t="inlineStr"/>
    </row>
    <row r="39">
      <c r="A39" s="56" t="inlineStr">
        <is>
          <t>Key Drivers (Base Case):</t>
        </is>
      </c>
    </row>
    <row r="40">
      <c r="A40" s="57" t="inlineStr">
        <is>
          <t xml:space="preserve">  • Revenue CAGR 14.3% → 8.0% (FY26-30E); EBITDA margin holds at ~54%</t>
        </is>
      </c>
    </row>
    <row r="41">
      <c r="A41" s="57" t="inlineStr">
        <is>
          <t xml:space="preserve">  • Capex tapers from 23% to 15% of revenue as AI buildout matures</t>
        </is>
      </c>
    </row>
    <row r="42">
      <c r="A42" s="57" t="inlineStr">
        <is>
          <t xml:space="preserve">  • WACC 9.47% (CAPM: β 0.92, ERP 5.5%); terminal growth 3.0%</t>
        </is>
      </c>
    </row>
    <row r="43">
      <c r="A43" s="55" t="inlineStr"/>
    </row>
    <row r="44">
      <c r="A44" s="56" t="inlineStr">
        <is>
          <t>Key Risks:</t>
        </is>
      </c>
    </row>
    <row r="45">
      <c r="A45" s="57" t="inlineStr">
        <is>
          <t xml:space="preserve">  • AI capex over-build: $80B+ annual capex requires sustained AI workload demand</t>
        </is>
      </c>
    </row>
    <row r="46">
      <c r="A46" s="57" t="inlineStr">
        <is>
          <t xml:space="preserve">  • Hyperscaler competition: AWS / GCP pricing pressure on Azure margins</t>
        </is>
      </c>
    </row>
    <row r="47">
      <c r="A47" s="57" t="inlineStr">
        <is>
          <t xml:space="preserve">  • Regulatory: EU/FTC scrutiny of OpenAI partnership, M365/Teams bundling rulings</t>
        </is>
      </c>
    </row>
    <row r="48">
      <c r="A48" s="57" t="inlineStr">
        <is>
          <t xml:space="preserve">  • Macro: Enterprise IT budget cyclicality; FX headwinds (~30% intl exposure)</t>
        </is>
      </c>
    </row>
  </sheetData>
  <mergeCells count="25">
    <mergeCell ref="A41:F41"/>
    <mergeCell ref="A46:F46"/>
    <mergeCell ref="A37:F37"/>
    <mergeCell ref="A2:F2"/>
    <mergeCell ref="A33:F33"/>
    <mergeCell ref="A47:F47"/>
    <mergeCell ref="A42:F42"/>
    <mergeCell ref="A32:F32"/>
    <mergeCell ref="A35:F35"/>
    <mergeCell ref="A4:F4"/>
    <mergeCell ref="A29:F29"/>
    <mergeCell ref="A43:F43"/>
    <mergeCell ref="A38:F38"/>
    <mergeCell ref="A28:F28"/>
    <mergeCell ref="A19:F19"/>
    <mergeCell ref="A44:F44"/>
    <mergeCell ref="A31:F31"/>
    <mergeCell ref="A34:F34"/>
    <mergeCell ref="A40:F40"/>
    <mergeCell ref="A48:F48"/>
    <mergeCell ref="A30:F30"/>
    <mergeCell ref="A39:F39"/>
    <mergeCell ref="A36:F36"/>
    <mergeCell ref="A1:F1"/>
    <mergeCell ref="A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2026-05-06T19:54:30Z</dcterms:created>
  <dcterms:modified xmlns:dcterms="http://purl.org/dc/terms/" xmlns:xsi="http://www.w3.org/2001/XMLSchema-instance" xsi:type="dcterms:W3CDTF">2026-05-06T19:54:30Z</dcterms:modified>
</cp:coreProperties>
</file>