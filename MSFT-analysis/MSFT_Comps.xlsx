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ing Co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#,##0;(&quot;$&quot;#,##0)"/>
    <numFmt numFmtId="166" formatCode="0.0&quot;x&quot;"/>
    <numFmt numFmtId="167" formatCode="0.0%"/>
    <numFmt numFmtId="168" formatCode="0.00&quot;x&quot;"/>
    <numFmt numFmtId="169" formatCode="&quot;$&quot;#,##0.00"/>
    <numFmt numFmtId="170" formatCode="0.0%;[Red]-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0F2444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AE9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8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9" fontId="3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7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Microsoft Corporation (NASDAQ: MSFT)</t>
        </is>
      </c>
    </row>
    <row r="2">
      <c r="A2" s="2" t="inlineStr">
        <is>
          <t>Comparable Companies Analysis  •  As of May 2026  •  USD billions</t>
        </is>
      </c>
    </row>
    <row r="4">
      <c r="A4" s="3" t="inlineStr">
        <is>
          <t>Subject Company</t>
        </is>
      </c>
      <c r="B4" s="4" t="inlineStr">
        <is>
          <t>Microsoft Corporation</t>
        </is>
      </c>
      <c r="C4" s="5" t="n"/>
      <c r="D4" s="5" t="n"/>
      <c r="E4" s="5" t="n"/>
      <c r="F4" s="6" t="n"/>
    </row>
    <row r="5">
      <c r="A5" s="3" t="inlineStr">
        <is>
          <t>Ticker</t>
        </is>
      </c>
      <c r="B5" s="4" t="inlineStr">
        <is>
          <t>NASDAQ: MSFT</t>
        </is>
      </c>
      <c r="C5" s="5" t="n"/>
      <c r="D5" s="5" t="n"/>
      <c r="E5" s="5" t="n"/>
      <c r="F5" s="6" t="n"/>
    </row>
    <row r="6">
      <c r="A6" s="3" t="inlineStr">
        <is>
          <t>Sector</t>
        </is>
      </c>
      <c r="B6" s="4" t="inlineStr">
        <is>
          <t>Software &amp; Cloud Infrastructure</t>
        </is>
      </c>
      <c r="C6" s="5" t="n"/>
      <c r="D6" s="5" t="n"/>
      <c r="E6" s="5" t="n"/>
      <c r="F6" s="6" t="n"/>
    </row>
    <row r="7">
      <c r="A7" s="3" t="inlineStr">
        <is>
          <t>Fiscal Year End</t>
        </is>
      </c>
      <c r="B7" s="4" t="inlineStr">
        <is>
          <t>June 30</t>
        </is>
      </c>
      <c r="C7" s="5" t="n"/>
      <c r="D7" s="5" t="n"/>
      <c r="E7" s="5" t="n"/>
      <c r="F7" s="6" t="n"/>
    </row>
    <row r="8">
      <c r="A8" s="3" t="inlineStr">
        <is>
          <t>Share Price</t>
        </is>
      </c>
      <c r="B8" s="4" t="inlineStr">
        <is>
          <t>$420.00</t>
        </is>
      </c>
      <c r="C8" s="5" t="n"/>
      <c r="D8" s="5" t="n"/>
      <c r="E8" s="5" t="n"/>
      <c r="F8" s="6" t="n"/>
    </row>
    <row r="9">
      <c r="A9" s="3" t="inlineStr">
        <is>
          <t>Diluted Shares</t>
        </is>
      </c>
      <c r="B9" s="4" t="inlineStr">
        <is>
          <t>7.43 B</t>
        </is>
      </c>
      <c r="C9" s="5" t="n"/>
      <c r="D9" s="5" t="n"/>
      <c r="E9" s="5" t="n"/>
      <c r="F9" s="6" t="n"/>
    </row>
    <row r="10">
      <c r="A10" s="3" t="inlineStr">
        <is>
          <t>Market Cap</t>
        </is>
      </c>
      <c r="B10" s="4" t="inlineStr">
        <is>
          <t>$3,121 B</t>
        </is>
      </c>
      <c r="C10" s="5" t="n"/>
      <c r="D10" s="5" t="n"/>
      <c r="E10" s="5" t="n"/>
      <c r="F10" s="6" t="n"/>
    </row>
    <row r="11">
      <c r="A11" s="3" t="inlineStr">
        <is>
          <t>Net Debt</t>
        </is>
      </c>
      <c r="B11" s="4" t="inlineStr">
        <is>
          <t>($24) B  (cash &gt; debt)</t>
        </is>
      </c>
      <c r="C11" s="5" t="n"/>
      <c r="D11" s="5" t="n"/>
      <c r="E11" s="5" t="n"/>
      <c r="F11" s="6" t="n"/>
    </row>
    <row r="12">
      <c r="A12" s="3" t="inlineStr">
        <is>
          <t>Enterprise Value</t>
        </is>
      </c>
      <c r="B12" s="4" t="inlineStr">
        <is>
          <t>$3,097 B</t>
        </is>
      </c>
      <c r="C12" s="5" t="n"/>
      <c r="D12" s="5" t="n"/>
      <c r="E12" s="5" t="n"/>
      <c r="F12" s="6" t="n"/>
    </row>
    <row r="13">
      <c r="A13" s="3" t="inlineStr">
        <is>
          <t>LTM Revenue</t>
        </is>
      </c>
      <c r="B13" s="4" t="inlineStr">
        <is>
          <t>$280.0 B</t>
        </is>
      </c>
      <c r="C13" s="5" t="n"/>
      <c r="D13" s="5" t="n"/>
      <c r="E13" s="5" t="n"/>
      <c r="F13" s="6" t="n"/>
    </row>
    <row r="14">
      <c r="A14" s="3" t="inlineStr">
        <is>
          <t>LTM EBITDA</t>
        </is>
      </c>
      <c r="B14" s="4" t="inlineStr">
        <is>
          <t>$150.0 B  (margin 53.6%)</t>
        </is>
      </c>
      <c r="C14" s="5" t="n"/>
      <c r="D14" s="5" t="n"/>
      <c r="E14" s="5" t="n"/>
      <c r="F14" s="6" t="n"/>
    </row>
    <row r="16">
      <c r="A16" s="7" t="inlineStr">
        <is>
          <t>Peer Group Selection Rationale</t>
        </is>
      </c>
    </row>
    <row r="17">
      <c r="A17" s="2" t="inlineStr">
        <is>
          <t>• Selected mega-cap technology platforms with material cloud infrastructure or AI exposure.</t>
        </is>
      </c>
    </row>
    <row r="18">
      <c r="A18" s="2" t="inlineStr">
        <is>
          <t>• Includes hyperscalers (GOOGL, AMZN), platform giants (AAPL, META), and pure-play</t>
        </is>
      </c>
    </row>
    <row r="19">
      <c r="A19" s="2" t="inlineStr">
        <is>
          <t xml:space="preserve">  enterprise software (ORCL, CRM) to capture the spectrum of MSFT's business mix.</t>
        </is>
      </c>
    </row>
    <row r="20">
      <c r="A20" s="2" t="inlineStr">
        <is>
          <t>• Excluded: pure-play SaaS sub-scale names (NOW, ADBE excluded for size mismatch).</t>
        </is>
      </c>
    </row>
  </sheetData>
  <mergeCells count="18">
    <mergeCell ref="B4:F4"/>
    <mergeCell ref="A2:F2"/>
    <mergeCell ref="A16:F16"/>
    <mergeCell ref="B12:F12"/>
    <mergeCell ref="B7:F7"/>
    <mergeCell ref="B6:F6"/>
    <mergeCell ref="A19:F19"/>
    <mergeCell ref="B10:F10"/>
    <mergeCell ref="A1:F1"/>
    <mergeCell ref="B11:F11"/>
    <mergeCell ref="B5:F5"/>
    <mergeCell ref="B14:F14"/>
    <mergeCell ref="A17:F17"/>
    <mergeCell ref="A18:F18"/>
    <mergeCell ref="B8:F8"/>
    <mergeCell ref="A20:F20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26" customHeight="1">
      <c r="A1" s="1" t="inlineStr">
        <is>
          <t>Comparable Companies — Trading Multiples</t>
        </is>
      </c>
    </row>
    <row r="2">
      <c r="A2" s="2" t="inlineStr">
        <is>
          <t>Market data as of May 2026  •  Consensus NTM estimates  •  USD billions</t>
        </is>
      </c>
    </row>
    <row r="4" ht="32" customHeight="1">
      <c r="A4" s="8" t="inlineStr">
        <is>
          <t>Company</t>
        </is>
      </c>
      <c r="B4" s="8" t="inlineStr">
        <is>
          <t>Ticker</t>
        </is>
      </c>
      <c r="C4" s="8" t="inlineStr">
        <is>
          <t>Mkt Cap</t>
        </is>
      </c>
      <c r="D4" s="8" t="inlineStr">
        <is>
          <t>Net Debt</t>
        </is>
      </c>
      <c r="E4" s="8" t="inlineStr">
        <is>
          <t>EV</t>
        </is>
      </c>
      <c r="F4" s="8" t="inlineStr">
        <is>
          <t>Revenue
(NTM)</t>
        </is>
      </c>
      <c r="G4" s="8" t="inlineStr">
        <is>
          <t>EBITDA
(NTM)</t>
        </is>
      </c>
      <c r="H4" s="8" t="inlineStr">
        <is>
          <t>EV/Rev</t>
        </is>
      </c>
      <c r="I4" s="8" t="inlineStr">
        <is>
          <t>EV/EBITDA</t>
        </is>
      </c>
      <c r="J4" s="8" t="inlineStr">
        <is>
          <t>P/E
(NTM)</t>
        </is>
      </c>
      <c r="K4" s="8" t="inlineStr">
        <is>
          <t>Rev Gr
%</t>
        </is>
      </c>
      <c r="L4" s="8" t="inlineStr">
        <is>
          <t>EBITDA
Margin</t>
        </is>
      </c>
    </row>
    <row r="5">
      <c r="A5" s="9" t="inlineStr">
        <is>
          <t>Alphabet</t>
        </is>
      </c>
      <c r="B5" s="10" t="inlineStr">
        <is>
          <t>GOOGL</t>
        </is>
      </c>
      <c r="C5" s="11" t="n">
        <v>2150</v>
      </c>
      <c r="D5" s="12" t="n">
        <v>-100</v>
      </c>
      <c r="E5" s="13" t="n">
        <v>2050</v>
      </c>
      <c r="F5" s="11" t="n">
        <v>410</v>
      </c>
      <c r="G5" s="11" t="n">
        <v>170</v>
      </c>
      <c r="H5" s="14" t="n">
        <v>5</v>
      </c>
      <c r="I5" s="14" t="n">
        <v>12.1</v>
      </c>
      <c r="J5" s="14" t="n">
        <v>22.8</v>
      </c>
      <c r="K5" s="15" t="n">
        <v>0.115</v>
      </c>
      <c r="L5" s="15" t="n">
        <v>0.415</v>
      </c>
    </row>
    <row r="6">
      <c r="A6" s="9" t="inlineStr">
        <is>
          <t>Apple</t>
        </is>
      </c>
      <c r="B6" s="10" t="inlineStr">
        <is>
          <t>AAPL</t>
        </is>
      </c>
      <c r="C6" s="11" t="n">
        <v>3300</v>
      </c>
      <c r="D6" s="12" t="n">
        <v>-55</v>
      </c>
      <c r="E6" s="13" t="n">
        <v>3245</v>
      </c>
      <c r="F6" s="11" t="n">
        <v>410</v>
      </c>
      <c r="G6" s="11" t="n">
        <v>140</v>
      </c>
      <c r="H6" s="14" t="n">
        <v>7.9</v>
      </c>
      <c r="I6" s="14" t="n">
        <v>23.2</v>
      </c>
      <c r="J6" s="14" t="n">
        <v>28.5</v>
      </c>
      <c r="K6" s="15" t="n">
        <v>0.06</v>
      </c>
      <c r="L6" s="15" t="n">
        <v>0.341</v>
      </c>
    </row>
    <row r="7">
      <c r="A7" s="9" t="inlineStr">
        <is>
          <t>Amazon</t>
        </is>
      </c>
      <c r="B7" s="10" t="inlineStr">
        <is>
          <t>AMZN</t>
        </is>
      </c>
      <c r="C7" s="11" t="n">
        <v>2300</v>
      </c>
      <c r="D7" s="12" t="n">
        <v>35</v>
      </c>
      <c r="E7" s="13" t="n">
        <v>2335</v>
      </c>
      <c r="F7" s="11" t="n">
        <v>720</v>
      </c>
      <c r="G7" s="11" t="n">
        <v>148</v>
      </c>
      <c r="H7" s="14" t="n">
        <v>3.2</v>
      </c>
      <c r="I7" s="14" t="n">
        <v>15.8</v>
      </c>
      <c r="J7" s="14" t="n">
        <v>35.6</v>
      </c>
      <c r="K7" s="15" t="n">
        <v>0.105</v>
      </c>
      <c r="L7" s="15" t="n">
        <v>0.206</v>
      </c>
    </row>
    <row r="8">
      <c r="A8" s="9" t="inlineStr">
        <is>
          <t>Meta</t>
        </is>
      </c>
      <c r="B8" s="10" t="inlineStr">
        <is>
          <t>META</t>
        </is>
      </c>
      <c r="C8" s="11" t="n">
        <v>1450</v>
      </c>
      <c r="D8" s="12" t="n">
        <v>-25</v>
      </c>
      <c r="E8" s="13" t="n">
        <v>1425</v>
      </c>
      <c r="F8" s="11" t="n">
        <v>185</v>
      </c>
      <c r="G8" s="11" t="n">
        <v>95</v>
      </c>
      <c r="H8" s="14" t="n">
        <v>7.7</v>
      </c>
      <c r="I8" s="14" t="n">
        <v>15</v>
      </c>
      <c r="J8" s="14" t="n">
        <v>22</v>
      </c>
      <c r="K8" s="15" t="n">
        <v>0.135</v>
      </c>
      <c r="L8" s="15" t="n">
        <v>0.514</v>
      </c>
    </row>
    <row r="9">
      <c r="A9" s="9" t="inlineStr">
        <is>
          <t>Oracle</t>
        </is>
      </c>
      <c r="B9" s="10" t="inlineStr">
        <is>
          <t>ORCL</t>
        </is>
      </c>
      <c r="C9" s="11" t="n">
        <v>480</v>
      </c>
      <c r="D9" s="12" t="n">
        <v>85</v>
      </c>
      <c r="E9" s="13" t="n">
        <v>565</v>
      </c>
      <c r="F9" s="11" t="n">
        <v>62</v>
      </c>
      <c r="G9" s="11" t="n">
        <v>27</v>
      </c>
      <c r="H9" s="14" t="n">
        <v>9.1</v>
      </c>
      <c r="I9" s="14" t="n">
        <v>20.9</v>
      </c>
      <c r="J9" s="14" t="n">
        <v>27.1</v>
      </c>
      <c r="K9" s="15" t="n">
        <v>0.11</v>
      </c>
      <c r="L9" s="15" t="n">
        <v>0.435</v>
      </c>
    </row>
    <row r="10">
      <c r="A10" s="9" t="inlineStr">
        <is>
          <t>Salesforce</t>
        </is>
      </c>
      <c r="B10" s="10" t="inlineStr">
        <is>
          <t>CRM</t>
        </is>
      </c>
      <c r="C10" s="11" t="n">
        <v>270</v>
      </c>
      <c r="D10" s="12" t="n">
        <v>0</v>
      </c>
      <c r="E10" s="13" t="n">
        <v>270</v>
      </c>
      <c r="F10" s="11" t="n">
        <v>42</v>
      </c>
      <c r="G10" s="11" t="n">
        <v>16</v>
      </c>
      <c r="H10" s="14" t="n">
        <v>6.4</v>
      </c>
      <c r="I10" s="14" t="n">
        <v>16.9</v>
      </c>
      <c r="J10" s="14" t="n">
        <v>26.4</v>
      </c>
      <c r="K10" s="15" t="n">
        <v>0.09</v>
      </c>
      <c r="L10" s="15" t="n">
        <v>0.38</v>
      </c>
    </row>
    <row r="11">
      <c r="A11" s="16" t="inlineStr">
        <is>
          <t>Microsoft</t>
        </is>
      </c>
      <c r="B11" s="17" t="inlineStr">
        <is>
          <t>MSFT</t>
        </is>
      </c>
      <c r="C11" s="18" t="n">
        <v>3121</v>
      </c>
      <c r="D11" s="19" t="n">
        <v>-24</v>
      </c>
      <c r="E11" s="18" t="n">
        <v>3097</v>
      </c>
      <c r="F11" s="18" t="n">
        <v>320</v>
      </c>
      <c r="G11" s="18" t="n">
        <v>172</v>
      </c>
      <c r="H11" s="20" t="n">
        <v>9.699999999999999</v>
      </c>
      <c r="I11" s="20" t="n">
        <v>18</v>
      </c>
      <c r="J11" s="20" t="n">
        <v>27.1</v>
      </c>
      <c r="K11" s="21" t="n">
        <v>0.143</v>
      </c>
      <c r="L11" s="21" t="n">
        <v>0.538</v>
      </c>
    </row>
    <row r="13">
      <c r="A13" s="22" t="inlineStr">
        <is>
          <t>STATISTICAL SUMMARY</t>
        </is>
      </c>
    </row>
    <row r="14">
      <c r="A14" s="23" t="inlineStr">
        <is>
          <t>Median</t>
        </is>
      </c>
      <c r="H14" s="24">
        <f>MEDIAN(H5:H10)</f>
        <v/>
      </c>
      <c r="I14" s="24">
        <f>MEDIAN(I5:I10)</f>
        <v/>
      </c>
      <c r="J14" s="24">
        <f>MEDIAN(J5:J10)</f>
        <v/>
      </c>
      <c r="K14" s="25">
        <f>MEDIAN(K5:K10)</f>
        <v/>
      </c>
      <c r="L14" s="25">
        <f>MEDIAN(L5:L10)</f>
        <v/>
      </c>
    </row>
    <row r="15">
      <c r="A15" s="23" t="inlineStr">
        <is>
          <t>Mean</t>
        </is>
      </c>
      <c r="H15" s="24">
        <f>AVERAGE(H5:H10)</f>
        <v/>
      </c>
      <c r="I15" s="24">
        <f>AVERAGE(I5:I10)</f>
        <v/>
      </c>
      <c r="J15" s="24">
        <f>AVERAGE(J5:J10)</f>
        <v/>
      </c>
      <c r="K15" s="25">
        <f>AVERAGE(K5:K10)</f>
        <v/>
      </c>
      <c r="L15" s="25">
        <f>AVERAGE(L5:L10)</f>
        <v/>
      </c>
    </row>
    <row r="16">
      <c r="A16" s="23" t="inlineStr">
        <is>
          <t>25th %ile</t>
        </is>
      </c>
      <c r="H16" s="24">
        <f>PERCENTILE(H5:H10,0.25)</f>
        <v/>
      </c>
      <c r="I16" s="24">
        <f>PERCENTILE(I5:I10,0.25)</f>
        <v/>
      </c>
      <c r="J16" s="24">
        <f>PERCENTILE(J5:J10,0.25)</f>
        <v/>
      </c>
      <c r="K16" s="25">
        <f>PERCENTILE(K5:K10,0.25)</f>
        <v/>
      </c>
      <c r="L16" s="25">
        <f>PERCENTILE(L5:L10,0.25)</f>
        <v/>
      </c>
    </row>
    <row r="17">
      <c r="A17" s="23" t="inlineStr">
        <is>
          <t>75th %ile</t>
        </is>
      </c>
      <c r="H17" s="24">
        <f>PERCENTILE(H5:H10,0.75)</f>
        <v/>
      </c>
      <c r="I17" s="24">
        <f>PERCENTILE(I5:I10,0.75)</f>
        <v/>
      </c>
      <c r="J17" s="24">
        <f>PERCENTILE(J5:J10,0.75)</f>
        <v/>
      </c>
      <c r="K17" s="25">
        <f>PERCENTILE(K5:K10,0.75)</f>
        <v/>
      </c>
      <c r="L17" s="25">
        <f>PERCENTILE(L5:L10,0.75)</f>
        <v/>
      </c>
    </row>
    <row r="18">
      <c r="A18" s="23" t="inlineStr">
        <is>
          <t>High</t>
        </is>
      </c>
      <c r="H18" s="24">
        <f>MAX(H5:H10)</f>
        <v/>
      </c>
      <c r="I18" s="24">
        <f>MAX(I5:I10)</f>
        <v/>
      </c>
      <c r="J18" s="24">
        <f>MAX(J5:J10)</f>
        <v/>
      </c>
      <c r="K18" s="25">
        <f>MAX(K5:K10)</f>
        <v/>
      </c>
      <c r="L18" s="25">
        <f>MAX(L5:L10)</f>
        <v/>
      </c>
    </row>
    <row r="19">
      <c r="A19" s="23" t="inlineStr">
        <is>
          <t>Low</t>
        </is>
      </c>
      <c r="H19" s="24">
        <f>MIN(H5:H10)</f>
        <v/>
      </c>
      <c r="I19" s="24">
        <f>MIN(I5:I10)</f>
        <v/>
      </c>
      <c r="J19" s="24">
        <f>MIN(J5:J10)</f>
        <v/>
      </c>
      <c r="K19" s="25">
        <f>MIN(K5:K10)</f>
        <v/>
      </c>
      <c r="L19" s="25">
        <f>MIN(L5:L10)</f>
        <v/>
      </c>
    </row>
    <row r="22">
      <c r="A22" s="7" t="inlineStr">
        <is>
          <t>IMPLIED VALUATION (using peer MEDIAN multiples)</t>
        </is>
      </c>
    </row>
    <row r="23">
      <c r="A23" s="8" t="inlineStr">
        <is>
          <t>Method</t>
        </is>
      </c>
      <c r="B23" s="8" t="inlineStr">
        <is>
          <t>MSFT Metric</t>
        </is>
      </c>
      <c r="C23" s="8" t="inlineStr">
        <is>
          <t>Peer Median</t>
        </is>
      </c>
      <c r="D23" s="8" t="inlineStr">
        <is>
          <t>Implied EV</t>
        </is>
      </c>
      <c r="E23" s="8" t="inlineStr">
        <is>
          <t>Net Debt</t>
        </is>
      </c>
      <c r="F23" s="8" t="inlineStr">
        <is>
          <t>Implied Equity</t>
        </is>
      </c>
      <c r="G23" s="8" t="inlineStr">
        <is>
          <t>Diluted Shrs</t>
        </is>
      </c>
      <c r="H23" s="8" t="inlineStr">
        <is>
          <t>Implied Price</t>
        </is>
      </c>
      <c r="I23" s="8" t="inlineStr">
        <is>
          <t>Current $</t>
        </is>
      </c>
      <c r="J23" s="8" t="inlineStr">
        <is>
          <t>Upside / (Down)</t>
        </is>
      </c>
    </row>
    <row r="24">
      <c r="A24" s="9" t="inlineStr">
        <is>
          <t>EV / Revenue</t>
        </is>
      </c>
      <c r="B24" s="11" t="n">
        <v>320</v>
      </c>
      <c r="C24" s="14">
        <f>$H$14</f>
        <v/>
      </c>
      <c r="D24" s="11">
        <f>B24*C24</f>
        <v/>
      </c>
      <c r="E24" s="12" t="n">
        <v>-24</v>
      </c>
      <c r="F24" s="11">
        <f>D24-E24</f>
        <v/>
      </c>
      <c r="G24" s="26" t="n">
        <v>7.43</v>
      </c>
      <c r="H24" s="27">
        <f>F24/G24</f>
        <v/>
      </c>
      <c r="I24" s="28" t="n">
        <v>420</v>
      </c>
      <c r="J24" s="29">
        <f>H24/I24-1</f>
        <v/>
      </c>
    </row>
    <row r="25">
      <c r="A25" s="9" t="inlineStr">
        <is>
          <t>EV / EBITDA</t>
        </is>
      </c>
      <c r="B25" s="11" t="n">
        <v>172</v>
      </c>
      <c r="C25" s="14">
        <f>$I$14</f>
        <v/>
      </c>
      <c r="D25" s="11">
        <f>B25*C25</f>
        <v/>
      </c>
      <c r="E25" s="12" t="n">
        <v>-24</v>
      </c>
      <c r="F25" s="11">
        <f>D25-E25</f>
        <v/>
      </c>
      <c r="G25" s="26" t="n">
        <v>7.43</v>
      </c>
      <c r="H25" s="27">
        <f>F25/G25</f>
        <v/>
      </c>
      <c r="I25" s="28" t="n">
        <v>420</v>
      </c>
      <c r="J25" s="29">
        <f>H25/I25-1</f>
        <v/>
      </c>
    </row>
    <row r="26">
      <c r="A26" s="9" t="inlineStr">
        <is>
          <t>P / E</t>
        </is>
      </c>
      <c r="B26" s="11" t="n">
        <v>100</v>
      </c>
      <c r="C26" s="14">
        <f>$J$14</f>
        <v/>
      </c>
      <c r="D26" s="30" t="inlineStr">
        <is>
          <t>n/a</t>
        </is>
      </c>
      <c r="E26" s="30" t="inlineStr">
        <is>
          <t>n/a</t>
        </is>
      </c>
      <c r="F26" s="11">
        <f>B26*C26</f>
        <v/>
      </c>
      <c r="G26" s="26" t="n">
        <v>7.43</v>
      </c>
      <c r="H26" s="27">
        <f>F26/G26</f>
        <v/>
      </c>
      <c r="I26" s="28" t="n">
        <v>420</v>
      </c>
      <c r="J26" s="29">
        <f>H26/I26-1</f>
        <v/>
      </c>
    </row>
    <row r="28" ht="36" customHeight="1">
      <c r="A28" s="31" t="inlineStr">
        <is>
          <t>Sources: Company filings (10-K / 10-Q), FactSet consensus, S&amp;P Capital IQ. Notes: NTM = Next-Twelve-Months consensus. Net Debt = Total debt − Cash &amp; marketable securities. MSFT figures based on FY2025A actuals; LTM through Mar-2026.</t>
        </is>
      </c>
    </row>
  </sheetData>
  <mergeCells count="5">
    <mergeCell ref="A2:L2"/>
    <mergeCell ref="A1:L1"/>
    <mergeCell ref="A28:L28"/>
    <mergeCell ref="A13:L13"/>
    <mergeCell ref="A22:L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2026-05-06T19:54:30Z</dcterms:created>
  <dcterms:modified xmlns:dcterms="http://purl.org/dc/terms/" xmlns:xsi="http://www.w3.org/2001/XMLSchema-instance" xsi:type="dcterms:W3CDTF">2026-05-06T19:54:30Z</dcterms:modified>
</cp:coreProperties>
</file>